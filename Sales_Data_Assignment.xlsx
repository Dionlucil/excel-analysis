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AFRICA AGILITY\assignment 1\"/>
    </mc:Choice>
  </mc:AlternateContent>
  <xr:revisionPtr revIDLastSave="0" documentId="13_ncr:1_{960D6AF0-07FB-4A7D-BBEE-F18D38A93486}" xr6:coauthVersionLast="47" xr6:coauthVersionMax="47" xr10:uidLastSave="{00000000-0000-0000-0000-000000000000}"/>
  <bookViews>
    <workbookView xWindow="-120" yWindow="-120" windowWidth="20730" windowHeight="11160" activeTab="5" xr2:uid="{00000000-000D-0000-FFFF-FFFF00000000}"/>
  </bookViews>
  <sheets>
    <sheet name="Raw_Sales_Data" sheetId="1" r:id="rId1"/>
    <sheet name="PIVOT_TOTAL_SALES" sheetId="9" r:id="rId2"/>
    <sheet name="AVG_QUANTITY_SOLD" sheetId="10" r:id="rId3"/>
    <sheet name="LINE_CHART" sheetId="11" r:id="rId4"/>
    <sheet name=" Bar_Chart" sheetId="13" r:id="rId5"/>
    <sheet name="DATA_CLEANING" sheetId="3" r:id="rId6"/>
    <sheet name=" Cell Referencing " sheetId="5" r:id="rId7"/>
    <sheet name="Product_Lookup" sheetId="2" r:id="rId8"/>
    <sheet name="DATA_VALIDATION" sheetId="6" r:id="rId9"/>
  </sheets>
  <definedNames>
    <definedName name="DATA_CLEANING">Table2[]</definedName>
    <definedName name="Slicer_Category">#N/A</definedName>
    <definedName name="Slicer_Region">#N/A</definedName>
    <definedName name="Slicer_Segment">#N/A</definedName>
    <definedName name="Slicer_YEAR">#N/A</definedName>
  </definedNames>
  <calcPr calcId="191029"/>
  <pivotCaches>
    <pivotCache cacheId="20" r:id="rId10"/>
    <pivotCache cacheId="27"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W18" i="3" l="1"/>
  <c r="N95" i="3"/>
  <c r="O95" i="3" s="1"/>
  <c r="N3" i="3"/>
  <c r="N4" i="3"/>
  <c r="O4" i="3" s="1"/>
  <c r="N5" i="3"/>
  <c r="O5" i="3" s="1"/>
  <c r="N6" i="3"/>
  <c r="O6" i="3" s="1"/>
  <c r="N7" i="3"/>
  <c r="O7" i="3" s="1"/>
  <c r="N8" i="3"/>
  <c r="O8" i="3" s="1"/>
  <c r="N9" i="3"/>
  <c r="O9" i="3" s="1"/>
  <c r="N10" i="3"/>
  <c r="O10" i="3" s="1"/>
  <c r="N11" i="3"/>
  <c r="O11" i="3" s="1"/>
  <c r="N12" i="3"/>
  <c r="O12" i="3" s="1"/>
  <c r="N13" i="3"/>
  <c r="O13" i="3" s="1"/>
  <c r="N14" i="3"/>
  <c r="O14" i="3" s="1"/>
  <c r="N15" i="3"/>
  <c r="O15" i="3" s="1"/>
  <c r="N16" i="3"/>
  <c r="O16" i="3" s="1"/>
  <c r="N17" i="3"/>
  <c r="O17" i="3" s="1"/>
  <c r="N18" i="3"/>
  <c r="O18" i="3" s="1"/>
  <c r="N19" i="3"/>
  <c r="O19" i="3" s="1"/>
  <c r="N20" i="3"/>
  <c r="O20" i="3" s="1"/>
  <c r="N21" i="3"/>
  <c r="O21" i="3" s="1"/>
  <c r="N22" i="3"/>
  <c r="O22" i="3" s="1"/>
  <c r="N23" i="3"/>
  <c r="O23" i="3" s="1"/>
  <c r="N24" i="3"/>
  <c r="O24" i="3" s="1"/>
  <c r="N25" i="3"/>
  <c r="O25" i="3" s="1"/>
  <c r="N26" i="3"/>
  <c r="O26" i="3" s="1"/>
  <c r="N27" i="3"/>
  <c r="O27" i="3" s="1"/>
  <c r="N28" i="3"/>
  <c r="O28" i="3" s="1"/>
  <c r="N29" i="3"/>
  <c r="O29" i="3" s="1"/>
  <c r="N30" i="3"/>
  <c r="O30" i="3" s="1"/>
  <c r="N31" i="3"/>
  <c r="O31" i="3" s="1"/>
  <c r="N32" i="3"/>
  <c r="O32" i="3" s="1"/>
  <c r="N33" i="3"/>
  <c r="O33" i="3" s="1"/>
  <c r="N34" i="3"/>
  <c r="O34" i="3" s="1"/>
  <c r="N35" i="3"/>
  <c r="O35" i="3" s="1"/>
  <c r="N36" i="3"/>
  <c r="O36" i="3" s="1"/>
  <c r="N37" i="3"/>
  <c r="O37" i="3" s="1"/>
  <c r="N38" i="3"/>
  <c r="O38" i="3" s="1"/>
  <c r="N39" i="3"/>
  <c r="O39" i="3" s="1"/>
  <c r="N40" i="3"/>
  <c r="O40" i="3" s="1"/>
  <c r="N41" i="3"/>
  <c r="O41" i="3" s="1"/>
  <c r="N42" i="3"/>
  <c r="O42" i="3" s="1"/>
  <c r="N43" i="3"/>
  <c r="O43" i="3" s="1"/>
  <c r="N44" i="3"/>
  <c r="O44" i="3" s="1"/>
  <c r="N45" i="3"/>
  <c r="O45" i="3" s="1"/>
  <c r="N46" i="3"/>
  <c r="O46" i="3" s="1"/>
  <c r="N47" i="3"/>
  <c r="O47" i="3" s="1"/>
  <c r="N48" i="3"/>
  <c r="O48" i="3" s="1"/>
  <c r="N49" i="3"/>
  <c r="O49" i="3" s="1"/>
  <c r="N50" i="3"/>
  <c r="O50" i="3" s="1"/>
  <c r="N51" i="3"/>
  <c r="O51" i="3" s="1"/>
  <c r="N52" i="3"/>
  <c r="O52" i="3" s="1"/>
  <c r="N53" i="3"/>
  <c r="O53" i="3" s="1"/>
  <c r="N54" i="3"/>
  <c r="O54" i="3" s="1"/>
  <c r="N55" i="3"/>
  <c r="O55" i="3" s="1"/>
  <c r="N56" i="3"/>
  <c r="O56" i="3" s="1"/>
  <c r="N57" i="3"/>
  <c r="O57" i="3" s="1"/>
  <c r="N58" i="3"/>
  <c r="O58" i="3" s="1"/>
  <c r="N59" i="3"/>
  <c r="O59" i="3" s="1"/>
  <c r="N60" i="3"/>
  <c r="O60" i="3" s="1"/>
  <c r="N61" i="3"/>
  <c r="O61" i="3" s="1"/>
  <c r="N62" i="3"/>
  <c r="O62" i="3" s="1"/>
  <c r="N63" i="3"/>
  <c r="O63" i="3" s="1"/>
  <c r="N64" i="3"/>
  <c r="O64" i="3" s="1"/>
  <c r="N65" i="3"/>
  <c r="O65" i="3" s="1"/>
  <c r="N66" i="3"/>
  <c r="O66" i="3" s="1"/>
  <c r="N67" i="3"/>
  <c r="O67" i="3" s="1"/>
  <c r="N68" i="3"/>
  <c r="O68" i="3" s="1"/>
  <c r="N69" i="3"/>
  <c r="O69" i="3" s="1"/>
  <c r="N70" i="3"/>
  <c r="O70" i="3" s="1"/>
  <c r="N71" i="3"/>
  <c r="O71" i="3" s="1"/>
  <c r="N72" i="3"/>
  <c r="O72" i="3" s="1"/>
  <c r="N73" i="3"/>
  <c r="O73" i="3" s="1"/>
  <c r="N74" i="3"/>
  <c r="O74" i="3" s="1"/>
  <c r="N75" i="3"/>
  <c r="O75" i="3" s="1"/>
  <c r="N76" i="3"/>
  <c r="O76" i="3" s="1"/>
  <c r="N77" i="3"/>
  <c r="O77" i="3" s="1"/>
  <c r="N78" i="3"/>
  <c r="O78" i="3" s="1"/>
  <c r="N79" i="3"/>
  <c r="O79" i="3" s="1"/>
  <c r="N80" i="3"/>
  <c r="O80" i="3" s="1"/>
  <c r="N81" i="3"/>
  <c r="O81" i="3" s="1"/>
  <c r="N82" i="3"/>
  <c r="O82" i="3" s="1"/>
  <c r="N83" i="3"/>
  <c r="O83" i="3" s="1"/>
  <c r="N84" i="3"/>
  <c r="O84" i="3" s="1"/>
  <c r="N85" i="3"/>
  <c r="O85" i="3" s="1"/>
  <c r="N86" i="3"/>
  <c r="O86" i="3" s="1"/>
  <c r="N87" i="3"/>
  <c r="O87" i="3" s="1"/>
  <c r="N88" i="3"/>
  <c r="O88" i="3" s="1"/>
  <c r="N89" i="3"/>
  <c r="O89" i="3" s="1"/>
  <c r="N90" i="3"/>
  <c r="O90" i="3" s="1"/>
  <c r="N91" i="3"/>
  <c r="O91" i="3" s="1"/>
  <c r="N92" i="3"/>
  <c r="O92" i="3" s="1"/>
  <c r="N93" i="3"/>
  <c r="O93" i="3" s="1"/>
  <c r="N94" i="3"/>
  <c r="O94" i="3" s="1"/>
  <c r="N96" i="3"/>
  <c r="O96" i="3" s="1"/>
  <c r="N97" i="3"/>
  <c r="O97" i="3" s="1"/>
  <c r="N98" i="3"/>
  <c r="O98" i="3" s="1"/>
  <c r="N99" i="3"/>
  <c r="O99" i="3" s="1"/>
  <c r="N100" i="3"/>
  <c r="O100" i="3" s="1"/>
  <c r="N101" i="3"/>
  <c r="O101" i="3" s="1"/>
  <c r="N102" i="3"/>
  <c r="O102" i="3" s="1"/>
  <c r="N103" i="3"/>
  <c r="O103" i="3" s="1"/>
  <c r="N104" i="3"/>
  <c r="O104" i="3" s="1"/>
  <c r="N105" i="3"/>
  <c r="O105" i="3" s="1"/>
  <c r="N106" i="3"/>
  <c r="O106" i="3" s="1"/>
  <c r="N107" i="3"/>
  <c r="O107" i="3" s="1"/>
  <c r="N108" i="3"/>
  <c r="O108" i="3" s="1"/>
  <c r="N109" i="3"/>
  <c r="O109" i="3" s="1"/>
  <c r="N110" i="3"/>
  <c r="O110" i="3" s="1"/>
  <c r="N111" i="3"/>
  <c r="O111" i="3" s="1"/>
  <c r="N112" i="3"/>
  <c r="O112" i="3" s="1"/>
  <c r="N113" i="3"/>
  <c r="O113" i="3" s="1"/>
  <c r="N114" i="3"/>
  <c r="O114" i="3" s="1"/>
  <c r="N115" i="3"/>
  <c r="O115" i="3" s="1"/>
  <c r="N116" i="3"/>
  <c r="O116" i="3" s="1"/>
  <c r="N117" i="3"/>
  <c r="O117" i="3" s="1"/>
  <c r="N118" i="3"/>
  <c r="O118" i="3" s="1"/>
  <c r="N119" i="3"/>
  <c r="O119" i="3" s="1"/>
  <c r="N120" i="3"/>
  <c r="O120" i="3" s="1"/>
  <c r="N121" i="3"/>
  <c r="O121" i="3" s="1"/>
  <c r="N122" i="3"/>
  <c r="O122" i="3" s="1"/>
  <c r="N123" i="3"/>
  <c r="O123" i="3" s="1"/>
  <c r="N124" i="3"/>
  <c r="O124" i="3" s="1"/>
  <c r="N125" i="3"/>
  <c r="O125" i="3" s="1"/>
  <c r="N126" i="3"/>
  <c r="O126" i="3" s="1"/>
  <c r="N127" i="3"/>
  <c r="O127" i="3" s="1"/>
  <c r="N128" i="3"/>
  <c r="O128" i="3" s="1"/>
  <c r="N129" i="3"/>
  <c r="O129" i="3" s="1"/>
  <c r="N130" i="3"/>
  <c r="O130" i="3" s="1"/>
  <c r="N131" i="3"/>
  <c r="O131" i="3" s="1"/>
  <c r="N132" i="3"/>
  <c r="O132" i="3" s="1"/>
  <c r="N133" i="3"/>
  <c r="O133" i="3" s="1"/>
  <c r="N134" i="3"/>
  <c r="O134" i="3" s="1"/>
  <c r="N135" i="3"/>
  <c r="O135" i="3" s="1"/>
  <c r="N136" i="3"/>
  <c r="O136" i="3" s="1"/>
  <c r="N137" i="3"/>
  <c r="O137" i="3" s="1"/>
  <c r="N138" i="3"/>
  <c r="O138" i="3" s="1"/>
  <c r="N139" i="3"/>
  <c r="O139" i="3" s="1"/>
  <c r="N140" i="3"/>
  <c r="O140" i="3" s="1"/>
  <c r="N141" i="3"/>
  <c r="O141" i="3" s="1"/>
  <c r="N142" i="3"/>
  <c r="O142" i="3" s="1"/>
  <c r="N143" i="3"/>
  <c r="O143" i="3" s="1"/>
  <c r="N144" i="3"/>
  <c r="O144" i="3" s="1"/>
  <c r="N145" i="3"/>
  <c r="O145" i="3" s="1"/>
  <c r="N146" i="3"/>
  <c r="O146" i="3" s="1"/>
  <c r="N147" i="3"/>
  <c r="O147" i="3" s="1"/>
  <c r="N148" i="3"/>
  <c r="O148" i="3" s="1"/>
  <c r="N149" i="3"/>
  <c r="O149" i="3" s="1"/>
  <c r="N150" i="3"/>
  <c r="O150" i="3" s="1"/>
  <c r="N151" i="3"/>
  <c r="O151" i="3" s="1"/>
  <c r="N152" i="3"/>
  <c r="O152" i="3" s="1"/>
  <c r="N153" i="3"/>
  <c r="O153" i="3" s="1"/>
  <c r="N154" i="3"/>
  <c r="O154" i="3" s="1"/>
  <c r="N155" i="3"/>
  <c r="O155" i="3" s="1"/>
  <c r="N156" i="3"/>
  <c r="O156" i="3" s="1"/>
  <c r="N157" i="3"/>
  <c r="O157" i="3" s="1"/>
  <c r="N158" i="3"/>
  <c r="O158" i="3" s="1"/>
  <c r="N159" i="3"/>
  <c r="O159" i="3" s="1"/>
  <c r="N160" i="3"/>
  <c r="O160" i="3" s="1"/>
  <c r="N161" i="3"/>
  <c r="O161" i="3" s="1"/>
  <c r="N162" i="3"/>
  <c r="O162" i="3" s="1"/>
  <c r="N163" i="3"/>
  <c r="O163" i="3" s="1"/>
  <c r="N164" i="3"/>
  <c r="O164" i="3" s="1"/>
  <c r="N165" i="3"/>
  <c r="O165" i="3" s="1"/>
  <c r="N166" i="3"/>
  <c r="O166" i="3" s="1"/>
  <c r="N167" i="3"/>
  <c r="O167" i="3" s="1"/>
  <c r="N168" i="3"/>
  <c r="O168" i="3" s="1"/>
  <c r="N169" i="3"/>
  <c r="O169" i="3" s="1"/>
  <c r="N170" i="3"/>
  <c r="O170" i="3" s="1"/>
  <c r="N171" i="3"/>
  <c r="O171" i="3" s="1"/>
  <c r="N172" i="3"/>
  <c r="O172" i="3" s="1"/>
  <c r="N173" i="3"/>
  <c r="O173" i="3" s="1"/>
  <c r="N174" i="3"/>
  <c r="O174" i="3" s="1"/>
  <c r="N175" i="3"/>
  <c r="O175" i="3" s="1"/>
  <c r="N176" i="3"/>
  <c r="O176" i="3" s="1"/>
  <c r="N177" i="3"/>
  <c r="O177" i="3" s="1"/>
  <c r="N178" i="3"/>
  <c r="O178" i="3" s="1"/>
  <c r="N179" i="3"/>
  <c r="O179" i="3" s="1"/>
  <c r="N180" i="3"/>
  <c r="O180" i="3" s="1"/>
  <c r="N181" i="3"/>
  <c r="O181" i="3" s="1"/>
  <c r="N182" i="3"/>
  <c r="O182" i="3" s="1"/>
  <c r="N183" i="3"/>
  <c r="O183" i="3" s="1"/>
  <c r="N184" i="3"/>
  <c r="O184" i="3" s="1"/>
  <c r="N185" i="3"/>
  <c r="O185" i="3" s="1"/>
  <c r="N186" i="3"/>
  <c r="O186" i="3" s="1"/>
  <c r="N187" i="3"/>
  <c r="O187" i="3" s="1"/>
  <c r="N188" i="3"/>
  <c r="O188" i="3" s="1"/>
  <c r="N189" i="3"/>
  <c r="O189" i="3" s="1"/>
  <c r="N190" i="3"/>
  <c r="O190" i="3" s="1"/>
  <c r="N191" i="3"/>
  <c r="O191" i="3" s="1"/>
  <c r="N192" i="3"/>
  <c r="O192" i="3" s="1"/>
  <c r="N193" i="3"/>
  <c r="O193" i="3" s="1"/>
  <c r="N194" i="3"/>
  <c r="O194" i="3" s="1"/>
  <c r="N195" i="3"/>
  <c r="O195" i="3" s="1"/>
  <c r="N196" i="3"/>
  <c r="O196" i="3" s="1"/>
  <c r="N197" i="3"/>
  <c r="O197" i="3" s="1"/>
  <c r="N198" i="3"/>
  <c r="O198" i="3" s="1"/>
  <c r="N199" i="3"/>
  <c r="O199" i="3" s="1"/>
  <c r="N200" i="3"/>
  <c r="O200" i="3" s="1"/>
  <c r="N201" i="3"/>
  <c r="O201" i="3" s="1"/>
  <c r="N202" i="3"/>
  <c r="O202" i="3" s="1"/>
  <c r="N203" i="3"/>
  <c r="O203" i="3" s="1"/>
  <c r="N204" i="3"/>
  <c r="O204" i="3" s="1"/>
  <c r="N205" i="3"/>
  <c r="O205" i="3" s="1"/>
  <c r="N206" i="3"/>
  <c r="O206" i="3" s="1"/>
  <c r="N207" i="3"/>
  <c r="O207" i="3" s="1"/>
  <c r="A23" i="6"/>
  <c r="A21" i="6"/>
  <c r="A4" i="6"/>
  <c r="A5" i="6"/>
  <c r="A6" i="6"/>
  <c r="A7" i="6"/>
  <c r="A8" i="6"/>
  <c r="A9" i="6"/>
  <c r="A10" i="6"/>
  <c r="A11" i="6"/>
  <c r="A12" i="6"/>
  <c r="A13" i="6"/>
  <c r="A14" i="6"/>
  <c r="A15" i="6"/>
  <c r="A16" i="6"/>
  <c r="A17" i="6"/>
  <c r="A18" i="6"/>
  <c r="A19" i="6"/>
  <c r="A20" i="6"/>
  <c r="A22"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113" i="6"/>
  <c r="A114" i="6"/>
  <c r="A115" i="6"/>
  <c r="A116" i="6"/>
  <c r="A117" i="6"/>
  <c r="A118" i="6"/>
  <c r="A119" i="6"/>
  <c r="A120" i="6"/>
  <c r="A121" i="6"/>
  <c r="A122" i="6"/>
  <c r="A123" i="6"/>
  <c r="A124" i="6"/>
  <c r="A125" i="6"/>
  <c r="A126" i="6"/>
  <c r="A127" i="6"/>
  <c r="A128" i="6"/>
  <c r="A129" i="6"/>
  <c r="A130" i="6"/>
  <c r="A131" i="6"/>
  <c r="A132" i="6"/>
  <c r="A133" i="6"/>
  <c r="A134" i="6"/>
  <c r="A135" i="6"/>
  <c r="A136" i="6"/>
  <c r="A137" i="6"/>
  <c r="A138" i="6"/>
  <c r="A139" i="6"/>
  <c r="A140" i="6"/>
  <c r="A141" i="6"/>
  <c r="A142" i="6"/>
  <c r="A143" i="6"/>
  <c r="A144" i="6"/>
  <c r="A145" i="6"/>
  <c r="A146" i="6"/>
  <c r="A147" i="6"/>
  <c r="A148" i="6"/>
  <c r="A149" i="6"/>
  <c r="A150" i="6"/>
  <c r="A151" i="6"/>
  <c r="A152" i="6"/>
  <c r="A153" i="6"/>
  <c r="A154" i="6"/>
  <c r="A155" i="6"/>
  <c r="A156" i="6"/>
  <c r="A157" i="6"/>
  <c r="A158" i="6"/>
  <c r="A159" i="6"/>
  <c r="A160" i="6"/>
  <c r="A161" i="6"/>
  <c r="A162" i="6"/>
  <c r="A163" i="6"/>
  <c r="A164" i="6"/>
  <c r="A165" i="6"/>
  <c r="A166" i="6"/>
  <c r="A167" i="6"/>
  <c r="A168" i="6"/>
  <c r="A169" i="6"/>
  <c r="A170" i="6"/>
  <c r="A171" i="6"/>
  <c r="A172" i="6"/>
  <c r="A173" i="6"/>
  <c r="A174" i="6"/>
  <c r="A175" i="6"/>
  <c r="A176" i="6"/>
  <c r="A177" i="6"/>
  <c r="A178" i="6"/>
  <c r="A179" i="6"/>
  <c r="A180" i="6"/>
  <c r="A181" i="6"/>
  <c r="A182" i="6"/>
  <c r="A183" i="6"/>
  <c r="A184" i="6"/>
  <c r="A185" i="6"/>
  <c r="A186" i="6"/>
  <c r="A187" i="6"/>
  <c r="A188" i="6"/>
  <c r="A189" i="6"/>
  <c r="A190" i="6"/>
  <c r="A191" i="6"/>
  <c r="A192" i="6"/>
  <c r="A193" i="6"/>
  <c r="A194" i="6"/>
  <c r="A195" i="6"/>
  <c r="A196" i="6"/>
  <c r="A197" i="6"/>
  <c r="A198" i="6"/>
  <c r="A199" i="6"/>
  <c r="A200" i="6"/>
  <c r="A201" i="6"/>
  <c r="A202" i="6"/>
  <c r="A203" i="6"/>
  <c r="A204" i="6"/>
  <c r="A205" i="6"/>
  <c r="A206" i="6"/>
  <c r="A207" i="6"/>
  <c r="A3" i="6"/>
  <c r="L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3" i="5"/>
  <c r="H208" i="3"/>
  <c r="W17" i="3" s="1"/>
  <c r="W7" i="3"/>
  <c r="W6" i="3"/>
  <c r="W5" i="3"/>
  <c r="I208"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J3" i="3"/>
  <c r="J4" i="3"/>
  <c r="P4" i="3" s="1"/>
  <c r="J5" i="3"/>
  <c r="P5" i="3" s="1"/>
  <c r="J6" i="3"/>
  <c r="P6" i="3" s="1"/>
  <c r="J7" i="3"/>
  <c r="P7" i="3" s="1"/>
  <c r="J8" i="3"/>
  <c r="P8" i="3" s="1"/>
  <c r="J9" i="3"/>
  <c r="P9" i="3" s="1"/>
  <c r="J10" i="3"/>
  <c r="P10" i="3" s="1"/>
  <c r="J11" i="3"/>
  <c r="P11" i="3" s="1"/>
  <c r="J12" i="3"/>
  <c r="P12" i="3" s="1"/>
  <c r="J13" i="3"/>
  <c r="P13" i="3" s="1"/>
  <c r="J14" i="3"/>
  <c r="P14" i="3" s="1"/>
  <c r="J15" i="3"/>
  <c r="P15" i="3" s="1"/>
  <c r="J16" i="3"/>
  <c r="P16" i="3" s="1"/>
  <c r="J17" i="3"/>
  <c r="P17" i="3" s="1"/>
  <c r="J18" i="3"/>
  <c r="P18" i="3" s="1"/>
  <c r="J19" i="3"/>
  <c r="P19" i="3" s="1"/>
  <c r="J20" i="3"/>
  <c r="P20" i="3" s="1"/>
  <c r="J21" i="3"/>
  <c r="P21" i="3" s="1"/>
  <c r="J22" i="3"/>
  <c r="P22" i="3" s="1"/>
  <c r="J23" i="3"/>
  <c r="P23" i="3" s="1"/>
  <c r="J24" i="3"/>
  <c r="P24" i="3" s="1"/>
  <c r="J25" i="3"/>
  <c r="P25" i="3" s="1"/>
  <c r="J26" i="3"/>
  <c r="P26" i="3" s="1"/>
  <c r="J27" i="3"/>
  <c r="P27" i="3" s="1"/>
  <c r="J28" i="3"/>
  <c r="P28" i="3" s="1"/>
  <c r="J29" i="3"/>
  <c r="P29" i="3" s="1"/>
  <c r="J30" i="3"/>
  <c r="P30" i="3" s="1"/>
  <c r="J31" i="3"/>
  <c r="P31" i="3" s="1"/>
  <c r="J32" i="3"/>
  <c r="P32" i="3" s="1"/>
  <c r="J33" i="3"/>
  <c r="P33" i="3" s="1"/>
  <c r="J34" i="3"/>
  <c r="P34" i="3" s="1"/>
  <c r="J35" i="3"/>
  <c r="P35" i="3" s="1"/>
  <c r="J36" i="3"/>
  <c r="P36" i="3" s="1"/>
  <c r="J37" i="3"/>
  <c r="P37" i="3" s="1"/>
  <c r="J38" i="3"/>
  <c r="P38" i="3" s="1"/>
  <c r="J39" i="3"/>
  <c r="P39" i="3" s="1"/>
  <c r="J40" i="3"/>
  <c r="P40" i="3" s="1"/>
  <c r="J41" i="3"/>
  <c r="P41" i="3" s="1"/>
  <c r="J42" i="3"/>
  <c r="P42" i="3" s="1"/>
  <c r="J43" i="3"/>
  <c r="P43" i="3" s="1"/>
  <c r="J44" i="3"/>
  <c r="P44" i="3" s="1"/>
  <c r="J45" i="3"/>
  <c r="P45" i="3" s="1"/>
  <c r="J46" i="3"/>
  <c r="P46" i="3" s="1"/>
  <c r="J47" i="3"/>
  <c r="P47" i="3" s="1"/>
  <c r="J48" i="3"/>
  <c r="P48" i="3" s="1"/>
  <c r="J49" i="3"/>
  <c r="P49" i="3" s="1"/>
  <c r="J50" i="3"/>
  <c r="P50" i="3" s="1"/>
  <c r="J51" i="3"/>
  <c r="P51" i="3" s="1"/>
  <c r="J52" i="3"/>
  <c r="P52" i="3" s="1"/>
  <c r="J53" i="3"/>
  <c r="P53" i="3" s="1"/>
  <c r="J54" i="3"/>
  <c r="P54" i="3" s="1"/>
  <c r="J55" i="3"/>
  <c r="P55" i="3" s="1"/>
  <c r="J56" i="3"/>
  <c r="P56" i="3" s="1"/>
  <c r="J57" i="3"/>
  <c r="P57" i="3" s="1"/>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P95" i="3" s="1"/>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W16" i="3" l="1"/>
  <c r="P58" i="3"/>
  <c r="P59" i="3"/>
  <c r="P60" i="3"/>
  <c r="P61" i="3"/>
  <c r="J208" i="3"/>
  <c r="W15"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1" i="3"/>
  <c r="P144" i="3"/>
  <c r="P146" i="3"/>
  <c r="P148" i="3"/>
  <c r="P150" i="3"/>
  <c r="P152" i="3"/>
  <c r="P154" i="3"/>
  <c r="P156" i="3"/>
  <c r="P158" i="3"/>
  <c r="P160" i="3"/>
  <c r="P162" i="3"/>
  <c r="P164" i="3"/>
  <c r="P166" i="3"/>
  <c r="P168" i="3"/>
  <c r="P170" i="3"/>
  <c r="P172" i="3"/>
  <c r="P174" i="3"/>
  <c r="P176" i="3"/>
  <c r="P178" i="3"/>
  <c r="P180" i="3"/>
  <c r="P182" i="3"/>
  <c r="P184" i="3"/>
  <c r="P186" i="3"/>
  <c r="P188" i="3"/>
  <c r="P190" i="3"/>
  <c r="P192" i="3"/>
  <c r="P194" i="3"/>
  <c r="P196" i="3"/>
  <c r="P198" i="3"/>
  <c r="P200" i="3"/>
  <c r="P202" i="3"/>
  <c r="P204" i="3"/>
  <c r="P206" i="3"/>
  <c r="P140" i="3"/>
  <c r="P142" i="3"/>
  <c r="P143" i="3"/>
  <c r="P145" i="3"/>
  <c r="P147" i="3"/>
  <c r="P149" i="3"/>
  <c r="P151" i="3"/>
  <c r="P153" i="3"/>
  <c r="P155" i="3"/>
  <c r="P157" i="3"/>
  <c r="P159" i="3"/>
  <c r="P161" i="3"/>
  <c r="P163" i="3"/>
  <c r="P165" i="3"/>
  <c r="P167" i="3"/>
  <c r="P169" i="3"/>
  <c r="P171" i="3"/>
  <c r="P173" i="3"/>
  <c r="P175" i="3"/>
  <c r="P177" i="3"/>
  <c r="P179" i="3"/>
  <c r="P181" i="3"/>
  <c r="P183" i="3"/>
  <c r="P185" i="3"/>
  <c r="P187" i="3"/>
  <c r="P189" i="3"/>
  <c r="P191" i="3"/>
  <c r="P193" i="3"/>
  <c r="P195" i="3"/>
  <c r="P197" i="3"/>
  <c r="P199" i="3"/>
  <c r="P201" i="3"/>
  <c r="P203" i="3"/>
  <c r="P205" i="3"/>
  <c r="P207" i="3"/>
  <c r="W3" i="3"/>
  <c r="N208" i="3"/>
  <c r="O3" i="3"/>
  <c r="P3" i="3" s="1"/>
  <c r="U3" i="5"/>
  <c r="C2" i="5"/>
  <c r="C207" i="5"/>
  <c r="U4" i="5"/>
  <c r="C3" i="5"/>
  <c r="U5" i="5"/>
  <c r="C4" i="5"/>
  <c r="U6" i="5"/>
  <c r="C5" i="5"/>
  <c r="U7" i="5"/>
  <c r="C6" i="5"/>
  <c r="U8" i="5"/>
  <c r="C7" i="5"/>
  <c r="U9" i="5"/>
  <c r="C8" i="5"/>
  <c r="U10" i="5"/>
  <c r="C9" i="5"/>
  <c r="U11" i="5"/>
  <c r="C10" i="5"/>
  <c r="U12" i="5"/>
  <c r="C11" i="5"/>
  <c r="U13" i="5"/>
  <c r="C12" i="5"/>
  <c r="U14" i="5"/>
  <c r="C13" i="5"/>
  <c r="U15" i="5"/>
  <c r="C14" i="5"/>
  <c r="U16" i="5"/>
  <c r="C15" i="5"/>
  <c r="U17" i="5"/>
  <c r="C16" i="5"/>
  <c r="U18" i="5"/>
  <c r="C17" i="5"/>
  <c r="U19" i="5"/>
  <c r="C18" i="5"/>
  <c r="U20" i="5"/>
  <c r="C19" i="5"/>
  <c r="U21" i="5"/>
  <c r="C20" i="5"/>
  <c r="U22" i="5"/>
  <c r="C21" i="5"/>
  <c r="U23" i="5"/>
  <c r="C22" i="5"/>
  <c r="U24" i="5"/>
  <c r="C23" i="5"/>
  <c r="U25" i="5"/>
  <c r="C24" i="5"/>
  <c r="U26" i="5"/>
  <c r="C25" i="5"/>
  <c r="U27" i="5"/>
  <c r="C26" i="5"/>
  <c r="U28" i="5"/>
  <c r="C27" i="5"/>
  <c r="U29" i="5"/>
  <c r="C28" i="5"/>
  <c r="U30" i="5"/>
  <c r="C29" i="5"/>
  <c r="U31" i="5"/>
  <c r="C30" i="5"/>
  <c r="U32" i="5"/>
  <c r="C31" i="5"/>
  <c r="U33" i="5"/>
  <c r="C32" i="5"/>
  <c r="U34" i="5"/>
  <c r="C33" i="5"/>
  <c r="U35" i="5"/>
  <c r="C34" i="5"/>
  <c r="U36" i="5"/>
  <c r="C35" i="5"/>
  <c r="U37" i="5"/>
  <c r="C36" i="5"/>
  <c r="U38" i="5"/>
  <c r="C37" i="5"/>
  <c r="U39" i="5"/>
  <c r="C38" i="5"/>
  <c r="U40" i="5"/>
  <c r="C39" i="5"/>
  <c r="U41" i="5"/>
  <c r="C40" i="5"/>
  <c r="U42" i="5"/>
  <c r="C41" i="5"/>
  <c r="U43" i="5"/>
  <c r="C42" i="5"/>
  <c r="U44" i="5"/>
  <c r="C43" i="5"/>
  <c r="U45" i="5"/>
  <c r="C44" i="5"/>
  <c r="U46" i="5"/>
  <c r="C45" i="5"/>
  <c r="U47" i="5"/>
  <c r="C46" i="5"/>
  <c r="C47" i="5"/>
  <c r="U48" i="5"/>
  <c r="C48" i="5"/>
  <c r="U49" i="5"/>
  <c r="C49" i="5"/>
  <c r="U50" i="5"/>
  <c r="U51" i="5"/>
  <c r="C50" i="5"/>
  <c r="C51" i="5"/>
  <c r="U52" i="5"/>
  <c r="C52" i="5"/>
  <c r="U53" i="5"/>
  <c r="U54" i="5"/>
  <c r="C53" i="5"/>
  <c r="U55" i="5"/>
  <c r="C54" i="5"/>
  <c r="U56" i="5"/>
  <c r="C55" i="5"/>
  <c r="U57" i="5"/>
  <c r="C56" i="5"/>
  <c r="U58" i="5"/>
  <c r="C57" i="5"/>
  <c r="U59" i="5"/>
  <c r="C58" i="5"/>
  <c r="U60" i="5"/>
  <c r="C59" i="5"/>
  <c r="U61" i="5"/>
  <c r="C60" i="5"/>
  <c r="U62" i="5"/>
  <c r="C61" i="5"/>
  <c r="U63" i="5"/>
  <c r="C62" i="5"/>
  <c r="U64" i="5"/>
  <c r="C63" i="5"/>
  <c r="U65" i="5"/>
  <c r="C64" i="5"/>
  <c r="U66" i="5"/>
  <c r="C65" i="5"/>
  <c r="U67" i="5"/>
  <c r="C66" i="5"/>
  <c r="U68" i="5"/>
  <c r="C67" i="5"/>
  <c r="U69" i="5"/>
  <c r="C68" i="5"/>
  <c r="U70" i="5"/>
  <c r="C69" i="5"/>
  <c r="U71" i="5"/>
  <c r="C70" i="5"/>
  <c r="U72" i="5"/>
  <c r="C71" i="5"/>
  <c r="U73" i="5"/>
  <c r="C72" i="5"/>
  <c r="U74" i="5"/>
  <c r="C73" i="5"/>
  <c r="U75" i="5"/>
  <c r="C74" i="5"/>
  <c r="U76" i="5"/>
  <c r="C75" i="5"/>
  <c r="U77" i="5"/>
  <c r="C76" i="5"/>
  <c r="U78" i="5"/>
  <c r="C77" i="5"/>
  <c r="C78" i="5"/>
  <c r="U79" i="5"/>
  <c r="U80" i="5"/>
  <c r="C79" i="5"/>
  <c r="C80" i="5"/>
  <c r="U81" i="5"/>
  <c r="U82" i="5"/>
  <c r="C81" i="5"/>
  <c r="C82" i="5"/>
  <c r="U83" i="5"/>
  <c r="C83" i="5"/>
  <c r="U84" i="5"/>
  <c r="C84" i="5"/>
  <c r="U85" i="5"/>
  <c r="C85" i="5"/>
  <c r="U86" i="5"/>
  <c r="C86" i="5"/>
  <c r="U87" i="5"/>
  <c r="C87" i="5"/>
  <c r="U88" i="5"/>
  <c r="C88" i="5"/>
  <c r="U89" i="5"/>
  <c r="C89" i="5"/>
  <c r="U90" i="5"/>
  <c r="U91" i="5"/>
  <c r="C90" i="5"/>
  <c r="U92" i="5"/>
  <c r="C91" i="5"/>
  <c r="U93" i="5"/>
  <c r="C92" i="5"/>
  <c r="U94" i="5"/>
  <c r="C93" i="5"/>
  <c r="U95" i="5"/>
  <c r="C94" i="5"/>
  <c r="U96" i="5"/>
  <c r="C95" i="5"/>
  <c r="U97" i="5"/>
  <c r="C96" i="5"/>
  <c r="U98" i="5"/>
  <c r="C97" i="5"/>
  <c r="U99" i="5"/>
  <c r="C98" i="5"/>
  <c r="U100" i="5"/>
  <c r="C99" i="5"/>
  <c r="U101" i="5"/>
  <c r="C100" i="5"/>
  <c r="U102" i="5"/>
  <c r="C101" i="5"/>
  <c r="U103" i="5"/>
  <c r="C102" i="5"/>
  <c r="U104" i="5"/>
  <c r="C103" i="5"/>
  <c r="U105" i="5"/>
  <c r="C104" i="5"/>
  <c r="U106" i="5"/>
  <c r="C105" i="5"/>
  <c r="U107" i="5"/>
  <c r="C106" i="5"/>
  <c r="U108" i="5"/>
  <c r="C107" i="5"/>
  <c r="U109" i="5"/>
  <c r="C108" i="5"/>
  <c r="U110" i="5"/>
  <c r="C109" i="5"/>
  <c r="C110" i="5"/>
  <c r="U111" i="5"/>
  <c r="C111" i="5"/>
  <c r="U112" i="5"/>
  <c r="C112" i="5"/>
  <c r="U113" i="5"/>
  <c r="C113" i="5"/>
  <c r="U114" i="5"/>
  <c r="C114" i="5"/>
  <c r="U115" i="5"/>
  <c r="C115" i="5"/>
  <c r="U116" i="5"/>
  <c r="C116" i="5"/>
  <c r="U117" i="5"/>
  <c r="C117" i="5"/>
  <c r="U118" i="5"/>
  <c r="C118" i="5"/>
  <c r="U119" i="5"/>
  <c r="C119" i="5"/>
  <c r="U120" i="5"/>
  <c r="C120" i="5"/>
  <c r="U121" i="5"/>
  <c r="C121" i="5"/>
  <c r="U122" i="5"/>
  <c r="U123" i="5"/>
  <c r="C122" i="5"/>
  <c r="U124" i="5"/>
  <c r="C123" i="5"/>
  <c r="U125" i="5"/>
  <c r="C124" i="5"/>
  <c r="U126" i="5"/>
  <c r="C125" i="5"/>
  <c r="U127" i="5"/>
  <c r="C126" i="5"/>
  <c r="U128" i="5"/>
  <c r="C127" i="5"/>
  <c r="U129" i="5"/>
  <c r="C128" i="5"/>
  <c r="U130" i="5"/>
  <c r="C129" i="5"/>
  <c r="U131" i="5"/>
  <c r="C130" i="5"/>
  <c r="U132" i="5"/>
  <c r="C131" i="5"/>
  <c r="U133" i="5"/>
  <c r="C132" i="5"/>
  <c r="U134" i="5"/>
  <c r="C133" i="5"/>
  <c r="U135" i="5"/>
  <c r="C134" i="5"/>
  <c r="C135" i="5"/>
  <c r="U136" i="5"/>
  <c r="C136" i="5"/>
  <c r="U137" i="5"/>
  <c r="C137" i="5"/>
  <c r="U138" i="5"/>
  <c r="C138" i="5"/>
  <c r="U139" i="5"/>
  <c r="U140" i="5"/>
  <c r="C139" i="5"/>
  <c r="C140" i="5"/>
  <c r="U141" i="5"/>
  <c r="C141" i="5"/>
  <c r="U142" i="5"/>
  <c r="C142" i="5"/>
  <c r="U143" i="5"/>
  <c r="C143" i="5"/>
  <c r="U144" i="5"/>
  <c r="U145" i="5"/>
  <c r="C144" i="5"/>
  <c r="U146" i="5"/>
  <c r="C145" i="5"/>
  <c r="U147" i="5"/>
  <c r="C146" i="5"/>
  <c r="U148" i="5"/>
  <c r="C147" i="5"/>
  <c r="U149" i="5"/>
  <c r="C148" i="5"/>
  <c r="U150" i="5"/>
  <c r="C149" i="5"/>
  <c r="U151" i="5"/>
  <c r="C150" i="5"/>
  <c r="U152" i="5"/>
  <c r="C151" i="5"/>
  <c r="U153" i="5"/>
  <c r="C152" i="5"/>
  <c r="U154" i="5"/>
  <c r="C153" i="5"/>
  <c r="U155" i="5"/>
  <c r="C154" i="5"/>
  <c r="U156" i="5"/>
  <c r="C155" i="5"/>
  <c r="C156" i="5"/>
  <c r="U157" i="5"/>
  <c r="U158" i="5"/>
  <c r="C157" i="5"/>
  <c r="U159" i="5"/>
  <c r="C158" i="5"/>
  <c r="U160" i="5"/>
  <c r="C159" i="5"/>
  <c r="C160" i="5"/>
  <c r="U161" i="5"/>
  <c r="C161" i="5"/>
  <c r="U162" i="5"/>
  <c r="C162" i="5"/>
  <c r="U163" i="5"/>
  <c r="U164" i="5"/>
  <c r="C163" i="5"/>
  <c r="C164" i="5"/>
  <c r="U165" i="5"/>
  <c r="U166" i="5"/>
  <c r="C165" i="5"/>
  <c r="U167" i="5"/>
  <c r="C166" i="5"/>
  <c r="C167" i="5"/>
  <c r="U168" i="5"/>
  <c r="C168" i="5"/>
  <c r="U169" i="5"/>
  <c r="C169" i="5"/>
  <c r="U170" i="5"/>
  <c r="C170" i="5"/>
  <c r="U171" i="5"/>
  <c r="C171" i="5"/>
  <c r="U172" i="5"/>
  <c r="C172" i="5"/>
  <c r="U173" i="5"/>
  <c r="C173" i="5"/>
  <c r="U174" i="5"/>
  <c r="C174" i="5"/>
  <c r="U175" i="5"/>
  <c r="C175" i="5"/>
  <c r="U176" i="5"/>
  <c r="C176" i="5"/>
  <c r="U177" i="5"/>
  <c r="C177" i="5"/>
  <c r="U178" i="5"/>
  <c r="C178" i="5"/>
  <c r="U179" i="5"/>
  <c r="U180" i="5"/>
  <c r="C179" i="5"/>
  <c r="U181" i="5"/>
  <c r="C180" i="5"/>
  <c r="U182" i="5"/>
  <c r="C181" i="5"/>
  <c r="C182" i="5"/>
  <c r="U183" i="5"/>
  <c r="U184" i="5"/>
  <c r="C183" i="5"/>
  <c r="U185" i="5"/>
  <c r="C184" i="5"/>
  <c r="U186" i="5"/>
  <c r="C185" i="5"/>
  <c r="U187" i="5"/>
  <c r="C186" i="5"/>
  <c r="U188" i="5"/>
  <c r="C187" i="5"/>
  <c r="U189" i="5"/>
  <c r="C188" i="5"/>
  <c r="U190" i="5"/>
  <c r="C189" i="5"/>
  <c r="U191" i="5"/>
  <c r="C190" i="5"/>
  <c r="U192" i="5"/>
  <c r="C191" i="5"/>
  <c r="C192" i="5"/>
  <c r="E192" i="5" s="1"/>
  <c r="U193" i="5"/>
  <c r="U194" i="5"/>
  <c r="C193" i="5"/>
  <c r="U195" i="5"/>
  <c r="C194" i="5"/>
  <c r="C195" i="5"/>
  <c r="E195" i="5" s="1"/>
  <c r="U196" i="5"/>
  <c r="U197" i="5"/>
  <c r="C196" i="5"/>
  <c r="U198" i="5"/>
  <c r="C197" i="5"/>
  <c r="U199" i="5"/>
  <c r="C198" i="5"/>
  <c r="U200" i="5"/>
  <c r="C199" i="5"/>
  <c r="U201" i="5"/>
  <c r="C200" i="5"/>
  <c r="U202" i="5"/>
  <c r="C201" i="5"/>
  <c r="U203" i="5"/>
  <c r="C202" i="5"/>
  <c r="U204" i="5"/>
  <c r="C203" i="5"/>
  <c r="U205" i="5"/>
  <c r="C204" i="5"/>
  <c r="U206" i="5"/>
  <c r="C205" i="5"/>
  <c r="U207" i="5"/>
  <c r="C206" i="5"/>
  <c r="H192" i="5"/>
  <c r="D192" i="5"/>
  <c r="H195" i="5"/>
  <c r="D195" i="5"/>
  <c r="I184" i="5"/>
  <c r="F184" i="5"/>
  <c r="G184" i="5"/>
  <c r="G185" i="5"/>
  <c r="I185" i="5"/>
  <c r="F185" i="5"/>
  <c r="I186" i="5"/>
  <c r="G186" i="5"/>
  <c r="F186" i="5"/>
  <c r="F187" i="5"/>
  <c r="G187" i="5"/>
  <c r="I187" i="5"/>
  <c r="I188" i="5"/>
  <c r="F188" i="5"/>
  <c r="G188" i="5"/>
  <c r="I189" i="5"/>
  <c r="F189" i="5"/>
  <c r="G189" i="5"/>
  <c r="I190" i="5"/>
  <c r="G190" i="5"/>
  <c r="F190" i="5"/>
  <c r="I191" i="5"/>
  <c r="F191" i="5"/>
  <c r="G191" i="5"/>
  <c r="I192" i="5"/>
  <c r="F192" i="5"/>
  <c r="G192" i="5"/>
  <c r="I193" i="5"/>
  <c r="F193" i="5"/>
  <c r="G193" i="5"/>
  <c r="I194" i="5"/>
  <c r="F194" i="5"/>
  <c r="G194" i="5"/>
  <c r="I195" i="5"/>
  <c r="F195" i="5"/>
  <c r="G195" i="5"/>
  <c r="I196" i="5"/>
  <c r="F196" i="5"/>
  <c r="G196" i="5"/>
  <c r="F197" i="5"/>
  <c r="G197" i="5"/>
  <c r="I197" i="5"/>
  <c r="F198" i="5"/>
  <c r="G198" i="5"/>
  <c r="I198" i="5"/>
  <c r="F199" i="5"/>
  <c r="G199" i="5"/>
  <c r="I199" i="5"/>
  <c r="F200" i="5"/>
  <c r="G200" i="5"/>
  <c r="F201" i="5"/>
  <c r="G201" i="5"/>
  <c r="F202" i="5"/>
  <c r="G202" i="5"/>
  <c r="F203" i="5"/>
  <c r="G203" i="5"/>
  <c r="G204" i="5"/>
  <c r="F204" i="5"/>
  <c r="G205" i="5"/>
  <c r="F205" i="5"/>
  <c r="F206" i="5"/>
  <c r="G206" i="5"/>
  <c r="W4" i="3"/>
  <c r="P208" i="3" l="1"/>
  <c r="O208" i="3"/>
  <c r="W10" i="3"/>
  <c r="W11" i="3" s="1"/>
  <c r="F2" i="5"/>
  <c r="G2" i="5"/>
  <c r="G207" i="5"/>
  <c r="I207" i="5"/>
  <c r="F207" i="5"/>
  <c r="H207" i="5"/>
  <c r="F3" i="5"/>
  <c r="H3" i="5"/>
  <c r="G3" i="5"/>
  <c r="H4" i="5"/>
  <c r="F4" i="5"/>
  <c r="G4" i="5"/>
  <c r="I4" i="5"/>
  <c r="F5" i="5"/>
  <c r="G5" i="5"/>
  <c r="I5" i="5"/>
  <c r="H5" i="5"/>
  <c r="F6" i="5"/>
  <c r="G6" i="5"/>
  <c r="H6" i="5"/>
  <c r="I6" i="5"/>
  <c r="F7" i="5"/>
  <c r="G7" i="5"/>
  <c r="H7" i="5"/>
  <c r="I7" i="5"/>
  <c r="H8" i="5"/>
  <c r="G8" i="5"/>
  <c r="I8" i="5"/>
  <c r="F8" i="5"/>
  <c r="I9" i="5"/>
  <c r="H9" i="5"/>
  <c r="G9" i="5"/>
  <c r="F9" i="5"/>
  <c r="I10" i="5"/>
  <c r="H10" i="5"/>
  <c r="G10" i="5"/>
  <c r="F10" i="5"/>
  <c r="G11" i="5"/>
  <c r="F11" i="5"/>
  <c r="H11" i="5"/>
  <c r="I11" i="5"/>
  <c r="G12" i="5"/>
  <c r="F12" i="5"/>
  <c r="H12" i="5"/>
  <c r="I12" i="5"/>
  <c r="F13" i="5"/>
  <c r="G13" i="5"/>
  <c r="I13" i="5"/>
  <c r="H13" i="5"/>
  <c r="F14" i="5"/>
  <c r="G14" i="5"/>
  <c r="H14" i="5"/>
  <c r="I14" i="5"/>
  <c r="F15" i="5"/>
  <c r="G15" i="5"/>
  <c r="I15" i="5"/>
  <c r="H15" i="5"/>
  <c r="F16" i="5"/>
  <c r="G16" i="5"/>
  <c r="I16" i="5"/>
  <c r="H16" i="5"/>
  <c r="F17" i="5"/>
  <c r="G17" i="5"/>
  <c r="I17" i="5"/>
  <c r="H17" i="5"/>
  <c r="F18" i="5"/>
  <c r="G18" i="5"/>
  <c r="H18" i="5"/>
  <c r="I18" i="5"/>
  <c r="F19" i="5"/>
  <c r="G19" i="5"/>
  <c r="H19" i="5"/>
  <c r="I19" i="5"/>
  <c r="F20" i="5"/>
  <c r="H20" i="5"/>
  <c r="I20" i="5"/>
  <c r="G20" i="5"/>
  <c r="F21" i="5"/>
  <c r="G21" i="5"/>
  <c r="H21" i="5"/>
  <c r="I21" i="5"/>
  <c r="F22" i="5"/>
  <c r="H22" i="5"/>
  <c r="G22" i="5"/>
  <c r="I22" i="5"/>
  <c r="I23" i="5"/>
  <c r="H23" i="5"/>
  <c r="G23" i="5"/>
  <c r="F23" i="5"/>
  <c r="I24" i="5"/>
  <c r="H24" i="5"/>
  <c r="G24" i="5"/>
  <c r="F24" i="5"/>
  <c r="F25" i="5"/>
  <c r="G25" i="5"/>
  <c r="I25" i="5"/>
  <c r="H25" i="5"/>
  <c r="H26" i="5"/>
  <c r="G26" i="5"/>
  <c r="I26" i="5"/>
  <c r="F26" i="5"/>
  <c r="F27" i="5"/>
  <c r="G27" i="5"/>
  <c r="I27" i="5"/>
  <c r="H27" i="5"/>
  <c r="F28" i="5"/>
  <c r="G28" i="5"/>
  <c r="I28" i="5"/>
  <c r="H28" i="5"/>
  <c r="H29" i="5"/>
  <c r="F29" i="5"/>
  <c r="G29" i="5"/>
  <c r="I29" i="5"/>
  <c r="G30" i="5"/>
  <c r="F30" i="5"/>
  <c r="G31" i="5"/>
  <c r="F31" i="5"/>
  <c r="F32" i="5"/>
  <c r="G32" i="5"/>
  <c r="I139" i="5"/>
  <c r="G139" i="5"/>
  <c r="F139" i="5"/>
  <c r="I140" i="5"/>
  <c r="F140" i="5"/>
  <c r="G140" i="5"/>
  <c r="I141" i="5"/>
  <c r="G141" i="5"/>
  <c r="F141" i="5"/>
  <c r="F142" i="5"/>
  <c r="I142" i="5"/>
  <c r="G142" i="5"/>
  <c r="I143" i="5"/>
  <c r="G143" i="5"/>
  <c r="F143" i="5"/>
  <c r="F144" i="5"/>
  <c r="G144" i="5"/>
  <c r="I144" i="5"/>
  <c r="F145" i="5"/>
  <c r="G145" i="5"/>
  <c r="I145" i="5"/>
  <c r="G146" i="5"/>
  <c r="F146" i="5"/>
  <c r="I146" i="5"/>
  <c r="I147" i="5"/>
  <c r="G147" i="5"/>
  <c r="F147" i="5"/>
  <c r="I148" i="5"/>
  <c r="F148" i="5"/>
  <c r="G148" i="5"/>
  <c r="I149" i="5"/>
  <c r="G149" i="5"/>
  <c r="F149" i="5"/>
  <c r="I150" i="5"/>
  <c r="F150" i="5"/>
  <c r="G150" i="5"/>
  <c r="I151" i="5"/>
  <c r="F151" i="5"/>
  <c r="G151" i="5"/>
  <c r="I152" i="5"/>
  <c r="F152" i="5"/>
  <c r="G152" i="5"/>
  <c r="I153" i="5"/>
  <c r="F153" i="5"/>
  <c r="G153" i="5"/>
  <c r="I154" i="5"/>
  <c r="F154" i="5"/>
  <c r="G154" i="5"/>
  <c r="F155" i="5"/>
  <c r="I155" i="5"/>
  <c r="G155" i="5"/>
  <c r="F156" i="5"/>
  <c r="G156" i="5"/>
  <c r="I156" i="5"/>
  <c r="I157" i="5"/>
  <c r="F157" i="5"/>
  <c r="G157" i="5"/>
  <c r="F158" i="5"/>
  <c r="G158" i="5"/>
  <c r="I158" i="5"/>
  <c r="I159" i="5"/>
  <c r="F159" i="5"/>
  <c r="G159" i="5"/>
  <c r="I160" i="5"/>
  <c r="F160" i="5"/>
  <c r="G160" i="5"/>
  <c r="I161" i="5"/>
  <c r="G161" i="5"/>
  <c r="F161" i="5"/>
  <c r="G162" i="5"/>
  <c r="F162" i="5"/>
  <c r="I162" i="5"/>
  <c r="I163" i="5"/>
  <c r="F163" i="5"/>
  <c r="G163" i="5"/>
  <c r="I164" i="5"/>
  <c r="F164" i="5"/>
  <c r="G164" i="5"/>
  <c r="I165" i="5"/>
  <c r="G165" i="5"/>
  <c r="F165" i="5"/>
  <c r="G166" i="5"/>
  <c r="I166" i="5"/>
  <c r="F166" i="5"/>
  <c r="G167" i="5"/>
  <c r="F167" i="5"/>
  <c r="I167" i="5"/>
  <c r="G168" i="5"/>
  <c r="F168" i="5"/>
  <c r="I168" i="5"/>
  <c r="G169" i="5"/>
  <c r="F169" i="5"/>
  <c r="I169" i="5"/>
  <c r="G170" i="5"/>
  <c r="I170" i="5"/>
  <c r="F170" i="5"/>
  <c r="I171" i="5"/>
  <c r="G171" i="5"/>
  <c r="F171" i="5"/>
  <c r="I172" i="5"/>
  <c r="F172" i="5"/>
  <c r="G172" i="5"/>
  <c r="I173" i="5"/>
  <c r="F173" i="5"/>
  <c r="G173" i="5"/>
  <c r="I174" i="5"/>
  <c r="F174" i="5"/>
  <c r="G174" i="5"/>
  <c r="I175" i="5"/>
  <c r="F175" i="5"/>
  <c r="G175" i="5"/>
  <c r="I176" i="5"/>
  <c r="G176" i="5"/>
  <c r="F176" i="5"/>
  <c r="I177" i="5"/>
  <c r="F177" i="5"/>
  <c r="G177" i="5"/>
  <c r="F178" i="5"/>
  <c r="I178" i="5"/>
  <c r="G178" i="5"/>
  <c r="I179" i="5"/>
  <c r="F179" i="5"/>
  <c r="G179" i="5"/>
  <c r="I180" i="5"/>
  <c r="F180" i="5"/>
  <c r="G180" i="5"/>
  <c r="I181" i="5"/>
  <c r="F181" i="5"/>
  <c r="G181" i="5"/>
  <c r="I182" i="5"/>
  <c r="F182" i="5"/>
  <c r="G182" i="5"/>
  <c r="I183" i="5"/>
  <c r="F183" i="5"/>
  <c r="G183" i="5"/>
  <c r="E139" i="5"/>
  <c r="D139" i="5"/>
  <c r="H139" i="5"/>
  <c r="E141" i="5"/>
  <c r="D141" i="5"/>
  <c r="H141" i="5"/>
  <c r="E144" i="5"/>
  <c r="D144" i="5"/>
  <c r="H144" i="5"/>
  <c r="E146" i="5"/>
  <c r="D146" i="5"/>
  <c r="H146" i="5"/>
  <c r="E149" i="5"/>
  <c r="D149" i="5"/>
  <c r="H149" i="5"/>
  <c r="H2" i="5"/>
  <c r="I2" i="5"/>
  <c r="E2" i="5"/>
  <c r="D2" i="5"/>
  <c r="E207" i="5"/>
  <c r="D207" i="5"/>
  <c r="I3" i="5"/>
  <c r="E3" i="5"/>
  <c r="D3" i="5"/>
  <c r="E4" i="5"/>
  <c r="D4" i="5"/>
  <c r="E5" i="5"/>
  <c r="D5" i="5"/>
  <c r="E6" i="5"/>
  <c r="D6" i="5"/>
  <c r="E7" i="5"/>
  <c r="D7" i="5"/>
  <c r="E8" i="5"/>
  <c r="D8" i="5"/>
  <c r="E9" i="5"/>
  <c r="D9" i="5"/>
  <c r="E10" i="5"/>
  <c r="D10" i="5"/>
  <c r="E11" i="5"/>
  <c r="D11" i="5"/>
  <c r="E12" i="5"/>
  <c r="D12" i="5"/>
  <c r="E13" i="5"/>
  <c r="D13" i="5"/>
  <c r="E14" i="5"/>
  <c r="D14" i="5"/>
  <c r="E15" i="5"/>
  <c r="D15" i="5"/>
  <c r="E16" i="5"/>
  <c r="D16" i="5"/>
  <c r="E17" i="5"/>
  <c r="D17" i="5"/>
  <c r="E18" i="5"/>
  <c r="D18" i="5"/>
  <c r="E19" i="5"/>
  <c r="D19" i="5"/>
  <c r="E20" i="5"/>
  <c r="D20" i="5"/>
  <c r="E21" i="5"/>
  <c r="D21" i="5"/>
  <c r="E22" i="5"/>
  <c r="D22" i="5"/>
  <c r="E23" i="5"/>
  <c r="D23" i="5"/>
  <c r="E24" i="5"/>
  <c r="D24" i="5"/>
  <c r="E25" i="5"/>
  <c r="D25" i="5"/>
  <c r="E26" i="5"/>
  <c r="D26" i="5"/>
  <c r="E27" i="5"/>
  <c r="D27" i="5"/>
  <c r="E28" i="5"/>
  <c r="D28" i="5"/>
  <c r="E29" i="5"/>
  <c r="D29" i="5"/>
  <c r="E30" i="5"/>
  <c r="D30" i="5"/>
  <c r="E31" i="5"/>
  <c r="D31" i="5"/>
  <c r="E32" i="5"/>
  <c r="D32" i="5"/>
  <c r="E33" i="5"/>
  <c r="D33" i="5"/>
  <c r="E34" i="5"/>
  <c r="D34" i="5"/>
  <c r="E35" i="5"/>
  <c r="D35" i="5"/>
  <c r="E36" i="5"/>
  <c r="D36" i="5"/>
  <c r="E37" i="5"/>
  <c r="D37" i="5"/>
  <c r="E38" i="5"/>
  <c r="D38" i="5"/>
  <c r="E39" i="5"/>
  <c r="D39" i="5"/>
  <c r="E40" i="5"/>
  <c r="D40" i="5"/>
  <c r="E41" i="5"/>
  <c r="D41" i="5"/>
  <c r="E42" i="5"/>
  <c r="D42" i="5"/>
  <c r="E43" i="5"/>
  <c r="D43" i="5"/>
  <c r="E44" i="5"/>
  <c r="D44" i="5"/>
  <c r="E45" i="5"/>
  <c r="D45" i="5"/>
  <c r="E46" i="5"/>
  <c r="D46" i="5"/>
  <c r="E47" i="5"/>
  <c r="D47" i="5"/>
  <c r="E48" i="5"/>
  <c r="D48" i="5"/>
  <c r="E49" i="5"/>
  <c r="D49" i="5"/>
  <c r="E50" i="5"/>
  <c r="D50" i="5"/>
  <c r="E51" i="5"/>
  <c r="D51" i="5"/>
  <c r="E52" i="5"/>
  <c r="D52" i="5"/>
  <c r="E53" i="5"/>
  <c r="D53" i="5"/>
  <c r="E54" i="5"/>
  <c r="D54" i="5"/>
  <c r="H55" i="5"/>
  <c r="E55" i="5"/>
  <c r="D55" i="5"/>
  <c r="H56" i="5"/>
  <c r="E56" i="5"/>
  <c r="D56" i="5"/>
  <c r="H57" i="5"/>
  <c r="E57" i="5"/>
  <c r="D57" i="5"/>
  <c r="H58" i="5"/>
  <c r="E58" i="5"/>
  <c r="D58" i="5"/>
  <c r="H59" i="5"/>
  <c r="E59" i="5"/>
  <c r="D59" i="5"/>
  <c r="H60" i="5"/>
  <c r="E60" i="5"/>
  <c r="D60" i="5"/>
  <c r="H61" i="5"/>
  <c r="E61" i="5"/>
  <c r="D61" i="5"/>
  <c r="H62" i="5"/>
  <c r="E62" i="5"/>
  <c r="D62" i="5"/>
  <c r="H63" i="5"/>
  <c r="E63" i="5"/>
  <c r="D63" i="5"/>
  <c r="H64" i="5"/>
  <c r="E64" i="5"/>
  <c r="D64" i="5"/>
  <c r="H65" i="5"/>
  <c r="E65" i="5"/>
  <c r="D65" i="5"/>
  <c r="H66" i="5"/>
  <c r="E66" i="5"/>
  <c r="D66" i="5"/>
  <c r="H67" i="5"/>
  <c r="E67" i="5"/>
  <c r="D67" i="5"/>
  <c r="H68" i="5"/>
  <c r="E68" i="5"/>
  <c r="D68" i="5"/>
  <c r="H69" i="5"/>
  <c r="E69" i="5"/>
  <c r="D69" i="5"/>
  <c r="H70" i="5"/>
  <c r="E70" i="5"/>
  <c r="D70" i="5"/>
  <c r="H71" i="5"/>
  <c r="E71" i="5"/>
  <c r="D71" i="5"/>
  <c r="H72" i="5"/>
  <c r="E72" i="5"/>
  <c r="D72" i="5"/>
  <c r="H73" i="5"/>
  <c r="E73" i="5"/>
  <c r="D73" i="5"/>
  <c r="H74" i="5"/>
  <c r="E74" i="5"/>
  <c r="D74" i="5"/>
  <c r="H75" i="5"/>
  <c r="E75" i="5"/>
  <c r="D75" i="5"/>
  <c r="H76" i="5"/>
  <c r="E76" i="5"/>
  <c r="D76" i="5"/>
  <c r="H77" i="5"/>
  <c r="E77" i="5"/>
  <c r="D77" i="5"/>
  <c r="H78" i="5"/>
  <c r="E78" i="5"/>
  <c r="D78" i="5"/>
  <c r="H79" i="5"/>
  <c r="E79" i="5"/>
  <c r="D79" i="5"/>
  <c r="H80" i="5"/>
  <c r="E80" i="5"/>
  <c r="D80" i="5"/>
  <c r="H81" i="5"/>
  <c r="D81" i="5"/>
  <c r="E81" i="5"/>
  <c r="H82" i="5"/>
  <c r="E82" i="5"/>
  <c r="D82" i="5"/>
  <c r="H83" i="5"/>
  <c r="E83" i="5"/>
  <c r="D83" i="5"/>
  <c r="H84" i="5"/>
  <c r="E84" i="5"/>
  <c r="D84" i="5"/>
  <c r="H85" i="5"/>
  <c r="E85" i="5"/>
  <c r="D85" i="5"/>
  <c r="H86" i="5"/>
  <c r="E86" i="5"/>
  <c r="D86" i="5"/>
  <c r="H87" i="5"/>
  <c r="E87" i="5"/>
  <c r="D87" i="5"/>
  <c r="H88" i="5"/>
  <c r="E88" i="5"/>
  <c r="D88" i="5"/>
  <c r="H89" i="5"/>
  <c r="E89" i="5"/>
  <c r="D89" i="5"/>
  <c r="H90" i="5"/>
  <c r="E90" i="5"/>
  <c r="D90" i="5"/>
  <c r="H91" i="5"/>
  <c r="E91" i="5"/>
  <c r="D91" i="5"/>
  <c r="H92" i="5"/>
  <c r="E92" i="5"/>
  <c r="D92" i="5"/>
  <c r="H93" i="5"/>
  <c r="E93" i="5"/>
  <c r="D93" i="5"/>
  <c r="H94" i="5"/>
  <c r="E94" i="5"/>
  <c r="D94" i="5"/>
  <c r="H95" i="5"/>
  <c r="E95" i="5"/>
  <c r="D95" i="5"/>
  <c r="H96" i="5"/>
  <c r="E96" i="5"/>
  <c r="D96" i="5"/>
  <c r="H97" i="5"/>
  <c r="E97" i="5"/>
  <c r="D97" i="5"/>
  <c r="H98" i="5"/>
  <c r="E98" i="5"/>
  <c r="D98" i="5"/>
  <c r="H99" i="5"/>
  <c r="E99" i="5"/>
  <c r="D99" i="5"/>
  <c r="H100" i="5"/>
  <c r="E100" i="5"/>
  <c r="D100" i="5"/>
  <c r="H101" i="5"/>
  <c r="E101" i="5"/>
  <c r="D101" i="5"/>
  <c r="H102" i="5"/>
  <c r="E102" i="5"/>
  <c r="D102" i="5"/>
  <c r="H103" i="5"/>
  <c r="E103" i="5"/>
  <c r="D103" i="5"/>
  <c r="H104" i="5"/>
  <c r="E104" i="5"/>
  <c r="D104" i="5"/>
  <c r="H105" i="5"/>
  <c r="E105" i="5"/>
  <c r="D105" i="5"/>
  <c r="H106" i="5"/>
  <c r="E106" i="5"/>
  <c r="D106" i="5"/>
  <c r="H107" i="5"/>
  <c r="E107" i="5"/>
  <c r="D107" i="5"/>
  <c r="H108" i="5"/>
  <c r="E108" i="5"/>
  <c r="D108" i="5"/>
  <c r="H109" i="5"/>
  <c r="E109" i="5"/>
  <c r="D109" i="5"/>
  <c r="H110" i="5"/>
  <c r="E110" i="5"/>
  <c r="D110" i="5"/>
  <c r="H111" i="5"/>
  <c r="E111" i="5"/>
  <c r="D111" i="5"/>
  <c r="H112" i="5"/>
  <c r="E112" i="5"/>
  <c r="D112" i="5"/>
  <c r="H113" i="5"/>
  <c r="E113" i="5"/>
  <c r="D113" i="5"/>
  <c r="H114" i="5"/>
  <c r="E114" i="5"/>
  <c r="D114" i="5"/>
  <c r="H115" i="5"/>
  <c r="E115" i="5"/>
  <c r="D115" i="5"/>
  <c r="H116" i="5"/>
  <c r="E116" i="5"/>
  <c r="D116" i="5"/>
  <c r="H117" i="5"/>
  <c r="E117" i="5"/>
  <c r="D117" i="5"/>
  <c r="H118" i="5"/>
  <c r="E118" i="5"/>
  <c r="D118" i="5"/>
  <c r="H119" i="5"/>
  <c r="E119" i="5"/>
  <c r="D119" i="5"/>
  <c r="H120" i="5"/>
  <c r="E120" i="5"/>
  <c r="D120" i="5"/>
  <c r="H121" i="5"/>
  <c r="E121" i="5"/>
  <c r="D121" i="5"/>
  <c r="H122" i="5"/>
  <c r="E122" i="5"/>
  <c r="D122" i="5"/>
  <c r="H123" i="5"/>
  <c r="E123" i="5"/>
  <c r="D123" i="5"/>
  <c r="H124" i="5"/>
  <c r="E124" i="5"/>
  <c r="D124" i="5"/>
  <c r="E125" i="5"/>
  <c r="D125" i="5"/>
  <c r="H125" i="5"/>
  <c r="E127" i="5"/>
  <c r="D127" i="5"/>
  <c r="H127" i="5"/>
  <c r="E129" i="5"/>
  <c r="D129" i="5"/>
  <c r="H129" i="5"/>
  <c r="E130" i="5"/>
  <c r="D130" i="5"/>
  <c r="H130" i="5"/>
  <c r="E132" i="5"/>
  <c r="D132" i="5"/>
  <c r="H132" i="5"/>
  <c r="E134" i="5"/>
  <c r="D134" i="5"/>
  <c r="H134" i="5"/>
  <c r="E135" i="5"/>
  <c r="D135" i="5"/>
  <c r="H135" i="5"/>
  <c r="E140" i="5"/>
  <c r="D140" i="5"/>
  <c r="H140" i="5"/>
  <c r="E142" i="5"/>
  <c r="D142" i="5"/>
  <c r="H142" i="5"/>
  <c r="E143" i="5"/>
  <c r="D143" i="5"/>
  <c r="H143" i="5"/>
  <c r="E145" i="5"/>
  <c r="D145" i="5"/>
  <c r="H145" i="5"/>
  <c r="E147" i="5"/>
  <c r="D147" i="5"/>
  <c r="H147" i="5"/>
  <c r="E148" i="5"/>
  <c r="D148" i="5"/>
  <c r="H148" i="5"/>
  <c r="E150" i="5"/>
  <c r="D150" i="5"/>
  <c r="H150" i="5"/>
  <c r="E151" i="5"/>
  <c r="D151" i="5"/>
  <c r="H151" i="5"/>
  <c r="H152" i="5"/>
  <c r="E152" i="5"/>
  <c r="D152" i="5"/>
  <c r="H153" i="5"/>
  <c r="E153" i="5"/>
  <c r="D153" i="5"/>
  <c r="H154" i="5"/>
  <c r="E154" i="5"/>
  <c r="D154" i="5"/>
  <c r="H155" i="5"/>
  <c r="E155" i="5"/>
  <c r="D155" i="5"/>
  <c r="H156" i="5"/>
  <c r="E156" i="5"/>
  <c r="D156" i="5"/>
  <c r="H157" i="5"/>
  <c r="E157" i="5"/>
  <c r="D157" i="5"/>
  <c r="H158" i="5"/>
  <c r="E158" i="5"/>
  <c r="D158" i="5"/>
  <c r="H159" i="5"/>
  <c r="E159" i="5"/>
  <c r="D159" i="5"/>
  <c r="H160" i="5"/>
  <c r="E160" i="5"/>
  <c r="D160" i="5"/>
  <c r="H161" i="5"/>
  <c r="E161" i="5"/>
  <c r="D161" i="5"/>
  <c r="H162" i="5"/>
  <c r="E162" i="5"/>
  <c r="D162" i="5"/>
  <c r="H163" i="5"/>
  <c r="E163" i="5"/>
  <c r="D163" i="5"/>
  <c r="H164" i="5"/>
  <c r="E164" i="5"/>
  <c r="D164" i="5"/>
  <c r="H165" i="5"/>
  <c r="E165" i="5"/>
  <c r="D165" i="5"/>
  <c r="H166" i="5"/>
  <c r="E166" i="5"/>
  <c r="D166" i="5"/>
  <c r="H167" i="5"/>
  <c r="E167" i="5"/>
  <c r="D167" i="5"/>
  <c r="H168" i="5"/>
  <c r="E168" i="5"/>
  <c r="D168" i="5"/>
  <c r="H169" i="5"/>
  <c r="E169" i="5"/>
  <c r="D169" i="5"/>
  <c r="H170" i="5"/>
  <c r="E170" i="5"/>
  <c r="D170" i="5"/>
  <c r="H171" i="5"/>
  <c r="E171" i="5"/>
  <c r="D171" i="5"/>
  <c r="H172" i="5"/>
  <c r="E172" i="5"/>
  <c r="D172" i="5"/>
  <c r="H173" i="5"/>
  <c r="E173" i="5"/>
  <c r="D173" i="5"/>
  <c r="H174" i="5"/>
  <c r="E174" i="5"/>
  <c r="D174" i="5"/>
  <c r="H175" i="5"/>
  <c r="E175" i="5"/>
  <c r="D175" i="5"/>
  <c r="H176" i="5"/>
  <c r="E176" i="5"/>
  <c r="D176" i="5"/>
  <c r="H177" i="5"/>
  <c r="E177" i="5"/>
  <c r="D177" i="5"/>
  <c r="H178" i="5"/>
  <c r="E178" i="5"/>
  <c r="D178" i="5"/>
  <c r="H179" i="5"/>
  <c r="E179" i="5"/>
  <c r="D179" i="5"/>
  <c r="H180" i="5"/>
  <c r="E180" i="5"/>
  <c r="D180" i="5"/>
  <c r="H181" i="5"/>
  <c r="E181" i="5"/>
  <c r="D181" i="5"/>
  <c r="H182" i="5"/>
  <c r="E182" i="5"/>
  <c r="D182" i="5"/>
  <c r="H183" i="5"/>
  <c r="E183" i="5"/>
  <c r="D183" i="5"/>
  <c r="H184" i="5"/>
  <c r="E184" i="5"/>
  <c r="D184" i="5"/>
  <c r="H185" i="5"/>
  <c r="E185" i="5"/>
  <c r="D185" i="5"/>
  <c r="H186" i="5"/>
  <c r="E186" i="5"/>
  <c r="D186" i="5"/>
  <c r="H187" i="5"/>
  <c r="E187" i="5"/>
  <c r="D187" i="5"/>
  <c r="H188" i="5"/>
  <c r="E188" i="5"/>
  <c r="D188" i="5"/>
  <c r="H189" i="5"/>
  <c r="E189" i="5"/>
  <c r="D189" i="5"/>
  <c r="H190" i="5"/>
  <c r="E190" i="5"/>
  <c r="D190" i="5"/>
  <c r="H191" i="5"/>
  <c r="E191" i="5"/>
  <c r="D191" i="5"/>
  <c r="E193" i="5"/>
  <c r="D193" i="5"/>
  <c r="H193" i="5"/>
  <c r="E194" i="5"/>
  <c r="D194" i="5"/>
  <c r="H194" i="5"/>
  <c r="E196" i="5"/>
  <c r="D196" i="5"/>
  <c r="H196" i="5"/>
  <c r="E197" i="5"/>
  <c r="D197" i="5"/>
  <c r="H197" i="5"/>
  <c r="E198" i="5"/>
  <c r="D198" i="5"/>
  <c r="H198" i="5"/>
  <c r="E199" i="5"/>
  <c r="D199" i="5"/>
  <c r="H199" i="5"/>
  <c r="E200" i="5"/>
  <c r="D200" i="5"/>
  <c r="E201" i="5"/>
  <c r="D201" i="5"/>
  <c r="E202" i="5"/>
  <c r="D202" i="5"/>
  <c r="E203" i="5"/>
  <c r="D203" i="5"/>
  <c r="E204" i="5"/>
  <c r="D204" i="5"/>
  <c r="E205" i="5"/>
  <c r="D205" i="5"/>
  <c r="E206" i="5"/>
  <c r="D206" i="5"/>
  <c r="I30" i="5"/>
  <c r="H30" i="5"/>
  <c r="I31" i="5"/>
  <c r="H31" i="5"/>
  <c r="H32" i="5"/>
  <c r="I32" i="5"/>
  <c r="I33" i="5"/>
  <c r="H33" i="5"/>
  <c r="F33" i="5"/>
  <c r="G33" i="5"/>
  <c r="F34" i="5"/>
  <c r="I34" i="5"/>
  <c r="G34" i="5"/>
  <c r="H34" i="5"/>
  <c r="G35" i="5"/>
  <c r="F35" i="5"/>
  <c r="I35" i="5"/>
  <c r="H35" i="5"/>
  <c r="I36" i="5"/>
  <c r="H36" i="5"/>
  <c r="F36" i="5"/>
  <c r="G36" i="5"/>
  <c r="H37" i="5"/>
  <c r="I37" i="5"/>
  <c r="F37" i="5"/>
  <c r="G37" i="5"/>
  <c r="I38" i="5"/>
  <c r="F38" i="5"/>
  <c r="H38" i="5"/>
  <c r="G38" i="5"/>
  <c r="F39" i="5"/>
  <c r="H39" i="5"/>
  <c r="I39" i="5"/>
  <c r="G39" i="5"/>
  <c r="H40" i="5"/>
  <c r="F40" i="5"/>
  <c r="G40" i="5"/>
  <c r="I40" i="5"/>
  <c r="G41" i="5"/>
  <c r="I41" i="5"/>
  <c r="F41" i="5"/>
  <c r="H41" i="5"/>
  <c r="I42" i="5"/>
  <c r="F42" i="5"/>
  <c r="G42" i="5"/>
  <c r="H42" i="5"/>
  <c r="F43" i="5"/>
  <c r="G43" i="5"/>
  <c r="I43" i="5"/>
  <c r="H43" i="5"/>
  <c r="G44" i="5"/>
  <c r="H44" i="5"/>
  <c r="I44" i="5"/>
  <c r="F44" i="5"/>
  <c r="H45" i="5"/>
  <c r="F45" i="5"/>
  <c r="G45" i="5"/>
  <c r="I45" i="5"/>
  <c r="G46" i="5"/>
  <c r="H46" i="5"/>
  <c r="I46" i="5"/>
  <c r="F46" i="5"/>
  <c r="H47" i="5"/>
  <c r="F47" i="5"/>
  <c r="I47" i="5"/>
  <c r="G47" i="5"/>
  <c r="I48" i="5"/>
  <c r="G48" i="5"/>
  <c r="F48" i="5"/>
  <c r="H48" i="5"/>
  <c r="I49" i="5"/>
  <c r="F49" i="5"/>
  <c r="G49" i="5"/>
  <c r="H49" i="5"/>
  <c r="I50" i="5"/>
  <c r="F50" i="5"/>
  <c r="H50" i="5"/>
  <c r="G50" i="5"/>
  <c r="H51" i="5"/>
  <c r="G51" i="5"/>
  <c r="F51" i="5"/>
  <c r="I51" i="5"/>
  <c r="F52" i="5"/>
  <c r="H52" i="5"/>
  <c r="G52" i="5"/>
  <c r="I52" i="5"/>
  <c r="G53" i="5"/>
  <c r="F53" i="5"/>
  <c r="H53" i="5"/>
  <c r="I53" i="5"/>
  <c r="F54" i="5"/>
  <c r="H54" i="5"/>
  <c r="G54" i="5"/>
  <c r="I54" i="5"/>
  <c r="I55" i="5"/>
  <c r="F55" i="5"/>
  <c r="G55" i="5"/>
  <c r="I56" i="5"/>
  <c r="G56" i="5"/>
  <c r="F56" i="5"/>
  <c r="I57" i="5"/>
  <c r="F57" i="5"/>
  <c r="G57" i="5"/>
  <c r="G58" i="5"/>
  <c r="I58" i="5"/>
  <c r="F58" i="5"/>
  <c r="F59" i="5"/>
  <c r="G59" i="5"/>
  <c r="I59" i="5"/>
  <c r="I60" i="5"/>
  <c r="F60" i="5"/>
  <c r="G60" i="5"/>
  <c r="I61" i="5"/>
  <c r="F61" i="5"/>
  <c r="G61" i="5"/>
  <c r="I62" i="5"/>
  <c r="F62" i="5"/>
  <c r="G62" i="5"/>
  <c r="G63" i="5"/>
  <c r="F63" i="5"/>
  <c r="I63" i="5"/>
  <c r="F64" i="5"/>
  <c r="G64" i="5"/>
  <c r="I64" i="5"/>
  <c r="F65" i="5"/>
  <c r="G65" i="5"/>
  <c r="I65" i="5"/>
  <c r="G66" i="5"/>
  <c r="F66" i="5"/>
  <c r="I66" i="5"/>
  <c r="G67" i="5"/>
  <c r="I67" i="5"/>
  <c r="F67" i="5"/>
  <c r="I68" i="5"/>
  <c r="F68" i="5"/>
  <c r="G68" i="5"/>
  <c r="F69" i="5"/>
  <c r="I69" i="5"/>
  <c r="G69" i="5"/>
  <c r="F70" i="5"/>
  <c r="G70" i="5"/>
  <c r="I70" i="5"/>
  <c r="F71" i="5"/>
  <c r="G71" i="5"/>
  <c r="I71" i="5"/>
  <c r="G72" i="5"/>
  <c r="F72" i="5"/>
  <c r="I72" i="5"/>
  <c r="G73" i="5"/>
  <c r="F73" i="5"/>
  <c r="I73" i="5"/>
  <c r="F74" i="5"/>
  <c r="G74" i="5"/>
  <c r="I74" i="5"/>
  <c r="I75" i="5"/>
  <c r="F75" i="5"/>
  <c r="G75" i="5"/>
  <c r="F76" i="5"/>
  <c r="I76" i="5"/>
  <c r="G76" i="5"/>
  <c r="F77" i="5"/>
  <c r="I77" i="5"/>
  <c r="G77" i="5"/>
  <c r="F78" i="5"/>
  <c r="I78" i="5"/>
  <c r="G78" i="5"/>
  <c r="I79" i="5"/>
  <c r="F79" i="5"/>
  <c r="G79" i="5"/>
  <c r="I80" i="5"/>
  <c r="F80" i="5"/>
  <c r="G80" i="5"/>
  <c r="G81" i="5"/>
  <c r="I81" i="5"/>
  <c r="F81" i="5"/>
  <c r="F82" i="5"/>
  <c r="G82" i="5"/>
  <c r="I82" i="5"/>
  <c r="I83" i="5"/>
  <c r="F83" i="5"/>
  <c r="G83" i="5"/>
  <c r="G84" i="5"/>
  <c r="F84" i="5"/>
  <c r="I84" i="5"/>
  <c r="F85" i="5"/>
  <c r="I85" i="5"/>
  <c r="G85" i="5"/>
  <c r="I86" i="5"/>
  <c r="G86" i="5"/>
  <c r="F86" i="5"/>
  <c r="I87" i="5"/>
  <c r="F87" i="5"/>
  <c r="G87" i="5"/>
  <c r="I88" i="5"/>
  <c r="F88" i="5"/>
  <c r="G88" i="5"/>
  <c r="I89" i="5"/>
  <c r="F89" i="5"/>
  <c r="G89" i="5"/>
  <c r="F90" i="5"/>
  <c r="G90" i="5"/>
  <c r="I90" i="5"/>
  <c r="F91" i="5"/>
  <c r="G91" i="5"/>
  <c r="I91" i="5"/>
  <c r="G92" i="5"/>
  <c r="F92" i="5"/>
  <c r="I92" i="5"/>
  <c r="I93" i="5"/>
  <c r="F93" i="5"/>
  <c r="G93" i="5"/>
  <c r="F94" i="5"/>
  <c r="I94" i="5"/>
  <c r="G94" i="5"/>
  <c r="F95" i="5"/>
  <c r="I95" i="5"/>
  <c r="G95" i="5"/>
  <c r="G96" i="5"/>
  <c r="F96" i="5"/>
  <c r="I96" i="5"/>
  <c r="I97" i="5"/>
  <c r="G97" i="5"/>
  <c r="F97" i="5"/>
  <c r="G98" i="5"/>
  <c r="I98" i="5"/>
  <c r="F98" i="5"/>
  <c r="F99" i="5"/>
  <c r="G99" i="5"/>
  <c r="I99" i="5"/>
  <c r="I100" i="5"/>
  <c r="F100" i="5"/>
  <c r="G100" i="5"/>
  <c r="F101" i="5"/>
  <c r="G101" i="5"/>
  <c r="I101" i="5"/>
  <c r="I102" i="5"/>
  <c r="F102" i="5"/>
  <c r="G102" i="5"/>
  <c r="F103" i="5"/>
  <c r="I103" i="5"/>
  <c r="G103" i="5"/>
  <c r="G104" i="5"/>
  <c r="F104" i="5"/>
  <c r="I104" i="5"/>
  <c r="I105" i="5"/>
  <c r="G105" i="5"/>
  <c r="F105" i="5"/>
  <c r="F106" i="5"/>
  <c r="I106" i="5"/>
  <c r="G106" i="5"/>
  <c r="I107" i="5"/>
  <c r="G107" i="5"/>
  <c r="F107" i="5"/>
  <c r="I108" i="5"/>
  <c r="F108" i="5"/>
  <c r="G108" i="5"/>
  <c r="I109" i="5"/>
  <c r="F109" i="5"/>
  <c r="G109" i="5"/>
  <c r="G110" i="5"/>
  <c r="I110" i="5"/>
  <c r="F110" i="5"/>
  <c r="G111" i="5"/>
  <c r="I111" i="5"/>
  <c r="F111" i="5"/>
  <c r="I112" i="5"/>
  <c r="F112" i="5"/>
  <c r="G112" i="5"/>
  <c r="I113" i="5"/>
  <c r="G113" i="5"/>
  <c r="F113" i="5"/>
  <c r="I114" i="5"/>
  <c r="F114" i="5"/>
  <c r="G114" i="5"/>
  <c r="F115" i="5"/>
  <c r="I115" i="5"/>
  <c r="G115" i="5"/>
  <c r="I116" i="5"/>
  <c r="G116" i="5"/>
  <c r="F116" i="5"/>
  <c r="I117" i="5"/>
  <c r="G117" i="5"/>
  <c r="F117" i="5"/>
  <c r="F118" i="5"/>
  <c r="I118" i="5"/>
  <c r="G118" i="5"/>
  <c r="I119" i="5"/>
  <c r="G119" i="5"/>
  <c r="F119" i="5"/>
  <c r="I120" i="5"/>
  <c r="F120" i="5"/>
  <c r="G120" i="5"/>
  <c r="I121" i="5"/>
  <c r="F121" i="5"/>
  <c r="G121" i="5"/>
  <c r="I122" i="5"/>
  <c r="F122" i="5"/>
  <c r="G122" i="5"/>
  <c r="I123" i="5"/>
  <c r="F123" i="5"/>
  <c r="G123" i="5"/>
  <c r="F124" i="5"/>
  <c r="G124" i="5"/>
  <c r="I124" i="5"/>
  <c r="I125" i="5"/>
  <c r="F125" i="5"/>
  <c r="G125" i="5"/>
  <c r="E126" i="5"/>
  <c r="H126" i="5"/>
  <c r="D126" i="5"/>
  <c r="F126" i="5"/>
  <c r="G126" i="5"/>
  <c r="I126" i="5"/>
  <c r="I127" i="5"/>
  <c r="F127" i="5"/>
  <c r="G127" i="5"/>
  <c r="E128" i="5"/>
  <c r="D128" i="5"/>
  <c r="H128" i="5"/>
  <c r="I128" i="5"/>
  <c r="F128" i="5"/>
  <c r="G128" i="5"/>
  <c r="F129" i="5"/>
  <c r="G129" i="5"/>
  <c r="I129" i="5"/>
  <c r="F130" i="5"/>
  <c r="G130" i="5"/>
  <c r="I130" i="5"/>
  <c r="E131" i="5"/>
  <c r="F131" i="5"/>
  <c r="I131" i="5"/>
  <c r="H131" i="5"/>
  <c r="D131" i="5"/>
  <c r="G131" i="5"/>
  <c r="F132" i="5"/>
  <c r="G132" i="5"/>
  <c r="I132" i="5"/>
  <c r="E133" i="5"/>
  <c r="H133" i="5"/>
  <c r="D133" i="5"/>
  <c r="I133" i="5"/>
  <c r="F133" i="5"/>
  <c r="G133" i="5"/>
  <c r="I134" i="5"/>
  <c r="F134" i="5"/>
  <c r="G134" i="5"/>
  <c r="G135" i="5"/>
  <c r="F135" i="5"/>
  <c r="I135" i="5"/>
  <c r="E136" i="5"/>
  <c r="G136" i="5"/>
  <c r="H136" i="5"/>
  <c r="F136" i="5"/>
  <c r="I136" i="5"/>
  <c r="D136" i="5"/>
  <c r="E137" i="5"/>
  <c r="H137" i="5"/>
  <c r="D137" i="5"/>
  <c r="I137" i="5"/>
  <c r="F137" i="5"/>
  <c r="G137" i="5"/>
  <c r="E138" i="5"/>
  <c r="H138" i="5"/>
  <c r="D138" i="5"/>
  <c r="I138" i="5"/>
  <c r="G138" i="5"/>
  <c r="F138" i="5"/>
  <c r="I200" i="5"/>
  <c r="H200" i="5"/>
  <c r="I201" i="5"/>
  <c r="H201" i="5"/>
  <c r="I202" i="5"/>
  <c r="H202" i="5"/>
  <c r="I203" i="5"/>
  <c r="H203" i="5"/>
  <c r="I204" i="5"/>
  <c r="H204" i="5"/>
  <c r="I205" i="5"/>
  <c r="H205" i="5"/>
  <c r="H206" i="5"/>
  <c r="I206" i="5"/>
</calcChain>
</file>

<file path=xl/sharedStrings.xml><?xml version="1.0" encoding="utf-8"?>
<sst xmlns="http://schemas.openxmlformats.org/spreadsheetml/2006/main" count="2807" uniqueCount="715">
  <si>
    <t>Order ID</t>
  </si>
  <si>
    <t>Order Date</t>
  </si>
  <si>
    <t>Customer ID</t>
  </si>
  <si>
    <t>Segment</t>
  </si>
  <si>
    <t>Region</t>
  </si>
  <si>
    <t>Category</t>
  </si>
  <si>
    <t>Product</t>
  </si>
  <si>
    <t>Quantity</t>
  </si>
  <si>
    <t>Unit Price</t>
  </si>
  <si>
    <t>Sales Amount</t>
  </si>
  <si>
    <t>ORD-1000</t>
  </si>
  <si>
    <t>CUST-106</t>
  </si>
  <si>
    <t>Consumer</t>
  </si>
  <si>
    <t>North</t>
  </si>
  <si>
    <t>Electronics</t>
  </si>
  <si>
    <t>Tablet</t>
  </si>
  <si>
    <t>ORD-1001</t>
  </si>
  <si>
    <t>CUST-113</t>
  </si>
  <si>
    <t>Corporate</t>
  </si>
  <si>
    <t xml:space="preserve"> Central </t>
  </si>
  <si>
    <t>Headphones</t>
  </si>
  <si>
    <t>ORD-1002</t>
  </si>
  <si>
    <t>CUST-144</t>
  </si>
  <si>
    <t>Home Office</t>
  </si>
  <si>
    <t>Toys</t>
  </si>
  <si>
    <t>Action Figure</t>
  </si>
  <si>
    <t>ORD-1003</t>
  </si>
  <si>
    <t>CUST-100</t>
  </si>
  <si>
    <t>West</t>
  </si>
  <si>
    <t>Clothing</t>
  </si>
  <si>
    <t>Sweater</t>
  </si>
  <si>
    <t>ORD-1004</t>
  </si>
  <si>
    <t>CUST-121</t>
  </si>
  <si>
    <t>Home &amp; Kitchen</t>
  </si>
  <si>
    <t>Coffee Maker</t>
  </si>
  <si>
    <t>ORD-1005</t>
  </si>
  <si>
    <t>CUST-116</t>
  </si>
  <si>
    <t>Office Supplies</t>
  </si>
  <si>
    <t>Stapler</t>
  </si>
  <si>
    <t>ORD-1006</t>
  </si>
  <si>
    <t>CUST-140</t>
  </si>
  <si>
    <t>ORD-1007</t>
  </si>
  <si>
    <t>CUST-114</t>
  </si>
  <si>
    <t>East</t>
  </si>
  <si>
    <t>Board Game</t>
  </si>
  <si>
    <t>ORD-1008</t>
  </si>
  <si>
    <t>CUST-123</t>
  </si>
  <si>
    <t>T-Shirt</t>
  </si>
  <si>
    <t>ORD-1009</t>
  </si>
  <si>
    <t>CUST-143</t>
  </si>
  <si>
    <t>home &amp; kitchen</t>
  </si>
  <si>
    <t>Toaster</t>
  </si>
  <si>
    <t>ORD-1010</t>
  </si>
  <si>
    <t>CUST-129</t>
  </si>
  <si>
    <t>ORD-1011</t>
  </si>
  <si>
    <t>CUST-149</t>
  </si>
  <si>
    <t>ORD-1012</t>
  </si>
  <si>
    <t>CUST-136</t>
  </si>
  <si>
    <t>South</t>
  </si>
  <si>
    <t>ORD-1013</t>
  </si>
  <si>
    <t>CUST-108</t>
  </si>
  <si>
    <t>Desk Lamp</t>
  </si>
  <si>
    <t>ORD-1014</t>
  </si>
  <si>
    <t>CUST-137</t>
  </si>
  <si>
    <t>Puzzle</t>
  </si>
  <si>
    <t>ORD-1015</t>
  </si>
  <si>
    <t>CUST-103</t>
  </si>
  <si>
    <t>clothing</t>
  </si>
  <si>
    <t>Jeans</t>
  </si>
  <si>
    <t>ORD-1016</t>
  </si>
  <si>
    <t>CUST-138</t>
  </si>
  <si>
    <t>ORD-1017</t>
  </si>
  <si>
    <t>Air Fryer</t>
  </si>
  <si>
    <t>ORD-1018</t>
  </si>
  <si>
    <t>Blender</t>
  </si>
  <si>
    <t>ORD-1019</t>
  </si>
  <si>
    <t>Socks</t>
  </si>
  <si>
    <t>ORD-1020</t>
  </si>
  <si>
    <t>ORD-1021</t>
  </si>
  <si>
    <t>ORD-1022</t>
  </si>
  <si>
    <t>CUST-131</t>
  </si>
  <si>
    <t>Smartphone</t>
  </si>
  <si>
    <t>ORD-1023</t>
  </si>
  <si>
    <t>CUST-110</t>
  </si>
  <si>
    <t>ORD-1024</t>
  </si>
  <si>
    <t>CUST-146</t>
  </si>
  <si>
    <t>Lego Set</t>
  </si>
  <si>
    <t>ORD-1025</t>
  </si>
  <si>
    <t>CUST-133</t>
  </si>
  <si>
    <t>Vacuum</t>
  </si>
  <si>
    <t>ORD-1026</t>
  </si>
  <si>
    <t>CUST-135</t>
  </si>
  <si>
    <t>ORD-1027</t>
  </si>
  <si>
    <t>ORD-1028</t>
  </si>
  <si>
    <t>ORD-1029</t>
  </si>
  <si>
    <t>CUST-130</t>
  </si>
  <si>
    <t>ORD-1030</t>
  </si>
  <si>
    <t>CUST-126</t>
  </si>
  <si>
    <t>Laptop</t>
  </si>
  <si>
    <t>ORD-1031</t>
  </si>
  <si>
    <t>ORD-1032</t>
  </si>
  <si>
    <t>CUST-117</t>
  </si>
  <si>
    <t>ORD-1033</t>
  </si>
  <si>
    <t>CUST-134</t>
  </si>
  <si>
    <t>Monitor</t>
  </si>
  <si>
    <t>ORD-1034</t>
  </si>
  <si>
    <t>CUST-125</t>
  </si>
  <si>
    <t>ORD-1035</t>
  </si>
  <si>
    <t>CUST-150</t>
  </si>
  <si>
    <t>ORD-1036</t>
  </si>
  <si>
    <t>CUST-112</t>
  </si>
  <si>
    <t>Paper Shredder</t>
  </si>
  <si>
    <t>ORD-1037</t>
  </si>
  <si>
    <t>CUST-120</t>
  </si>
  <si>
    <t>ORD-1038</t>
  </si>
  <si>
    <t>ORD-1039</t>
  </si>
  <si>
    <t>CUST-115</t>
  </si>
  <si>
    <t>ORD-1040</t>
  </si>
  <si>
    <t>CUST-105</t>
  </si>
  <si>
    <t>ORD-1041</t>
  </si>
  <si>
    <t>CUST-142</t>
  </si>
  <si>
    <t>Doll</t>
  </si>
  <si>
    <t>ORD-1042</t>
  </si>
  <si>
    <t>ORD-1043</t>
  </si>
  <si>
    <t>CUST-104</t>
  </si>
  <si>
    <t>ORD-1044</t>
  </si>
  <si>
    <t>ORD-1045</t>
  </si>
  <si>
    <t>CUST-119</t>
  </si>
  <si>
    <t>ORD-1046</t>
  </si>
  <si>
    <t>ORD-1047</t>
  </si>
  <si>
    <t>ORD-1048</t>
  </si>
  <si>
    <t>ORD-1049</t>
  </si>
  <si>
    <t>ORD-1050</t>
  </si>
  <si>
    <t>CUST-107</t>
  </si>
  <si>
    <t>ORD-1051</t>
  </si>
  <si>
    <t>CUST-127</t>
  </si>
  <si>
    <t>ORD-1052</t>
  </si>
  <si>
    <t>ORD-1053</t>
  </si>
  <si>
    <t>ORD-1054</t>
  </si>
  <si>
    <t>ORD-1055</t>
  </si>
  <si>
    <t>CUST-102</t>
  </si>
  <si>
    <t>ORD-1056</t>
  </si>
  <si>
    <t>ORD-1057</t>
  </si>
  <si>
    <t>ORD-1058</t>
  </si>
  <si>
    <t>CUST-101</t>
  </si>
  <si>
    <t>ORD-1059</t>
  </si>
  <si>
    <t>ORD-1060</t>
  </si>
  <si>
    <t>ORD-1061</t>
  </si>
  <si>
    <t>ORD-1062</t>
  </si>
  <si>
    <t>CUST-139</t>
  </si>
  <si>
    <t>ORD-1063</t>
  </si>
  <si>
    <t>ORD-1064</t>
  </si>
  <si>
    <t>CUST-124</t>
  </si>
  <si>
    <t>ORD-1065</t>
  </si>
  <si>
    <t>toys</t>
  </si>
  <si>
    <t>ORD-1066</t>
  </si>
  <si>
    <t>ORD-1067</t>
  </si>
  <si>
    <t>ORD-1068</t>
  </si>
  <si>
    <t>ORD-1069</t>
  </si>
  <si>
    <t>ORD-1070</t>
  </si>
  <si>
    <t>ORD-1071</t>
  </si>
  <si>
    <t>CUST-148</t>
  </si>
  <si>
    <t>Notebook</t>
  </si>
  <si>
    <t>ORD-1072</t>
  </si>
  <si>
    <t>ORD-1073</t>
  </si>
  <si>
    <t>office supplies</t>
  </si>
  <si>
    <t>ORD-1074</t>
  </si>
  <si>
    <t>ORD-1075</t>
  </si>
  <si>
    <t>ORD-1076</t>
  </si>
  <si>
    <t>CUST-118</t>
  </si>
  <si>
    <t>ORD-1077</t>
  </si>
  <si>
    <t>ORD-1078</t>
  </si>
  <si>
    <t>ORD-1079</t>
  </si>
  <si>
    <t>ORD-1080</t>
  </si>
  <si>
    <t>ORD-1081</t>
  </si>
  <si>
    <t>ORD-1082</t>
  </si>
  <si>
    <t>Pen Set</t>
  </si>
  <si>
    <t>ORD-1083</t>
  </si>
  <si>
    <t>ORD-1084</t>
  </si>
  <si>
    <t>ORD-1085</t>
  </si>
  <si>
    <t>ORD-1086</t>
  </si>
  <si>
    <t>ORD-1087</t>
  </si>
  <si>
    <t>ORD-1088</t>
  </si>
  <si>
    <t>ORD-1089</t>
  </si>
  <si>
    <t>CUST-145</t>
  </si>
  <si>
    <t>ORD-1090</t>
  </si>
  <si>
    <t>ORD-1091</t>
  </si>
  <si>
    <t>ORD-1092</t>
  </si>
  <si>
    <t>ORD-1093</t>
  </si>
  <si>
    <t>CUST-141</t>
  </si>
  <si>
    <t>ORD-1094</t>
  </si>
  <si>
    <t>ORD-1095</t>
  </si>
  <si>
    <t>ORD-1096</t>
  </si>
  <si>
    <t>ORD-1097</t>
  </si>
  <si>
    <t>ORD-1098</t>
  </si>
  <si>
    <t>ORD-1099</t>
  </si>
  <si>
    <t>ORD-1100</t>
  </si>
  <si>
    <t>ORD-1101</t>
  </si>
  <si>
    <t>ORD-1102</t>
  </si>
  <si>
    <t>Jacket</t>
  </si>
  <si>
    <t>ORD-1103</t>
  </si>
  <si>
    <t>ORD-1104</t>
  </si>
  <si>
    <t>CUST-147</t>
  </si>
  <si>
    <t>ORD-1105</t>
  </si>
  <si>
    <t>ORD-1106</t>
  </si>
  <si>
    <t>CUST-111</t>
  </si>
  <si>
    <t>ORD-1107</t>
  </si>
  <si>
    <t>ORD-1108</t>
  </si>
  <si>
    <t>ORD-1109</t>
  </si>
  <si>
    <t>ORD-1110</t>
  </si>
  <si>
    <t>CUST-109</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</si>
  <si>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</si>
  <si>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</si>
  <si>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</si>
  <si>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</si>
  <si>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</si>
  <si>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</si>
  <si>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</si>
  <si>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</si>
  <si>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</si>
  <si>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</si>
  <si>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</si>
  <si>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</si>
  <si>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</si>
  <si>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</si>
  <si>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</si>
  <si>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</si>
  <si>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</si>
  <si>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</si>
  <si>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</si>
  <si>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</si>
  <si>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</si>
  <si>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CUST-132</t>
  </si>
  <si>
    <t>ORD-1132</t>
  </si>
  <si>
    <t>ORD-1133</t>
  </si>
  <si>
    <t>ORD-1134</t>
  </si>
  <si>
    <t>ORD-1135</t>
  </si>
  <si>
    <t>CUST-122</t>
  </si>
  <si>
    <t>ORD-1136</t>
  </si>
  <si>
    <t>ORD-1137</t>
  </si>
  <si>
    <t>ORD-1138</t>
  </si>
  <si>
    <t>ORD-1139</t>
  </si>
  <si>
    <t>CUST-128</t>
  </si>
  <si>
    <t>ORD-1140</t>
  </si>
  <si>
    <t>ORD-1141</t>
  </si>
  <si>
    <t>ORD-1142</t>
  </si>
  <si>
    <t>ORD-1143</t>
  </si>
  <si>
    <t>electronics</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</si>
  <si>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</si>
  <si>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</si>
  <si>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</si>
  <si>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</si>
  <si>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</si>
  <si>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</si>
  <si>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</si>
  <si>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</si>
  <si>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</si>
  <si>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</si>
  <si>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</si>
  <si>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</si>
  <si>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</si>
  <si>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</si>
  <si>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</si>
  <si>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</si>
  <si>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</si>
  <si>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</si>
  <si>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</si>
  <si>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</si>
  <si>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</si>
  <si>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</si>
  <si>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</si>
  <si>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</si>
  <si>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</si>
  <si>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</si>
  <si>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</si>
  <si>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</si>
  <si>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</si>
  <si>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</si>
  <si>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</si>
  <si>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</si>
  <si>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</si>
  <si>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</si>
  <si>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</si>
  <si>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</si>
  <si>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</si>
  <si>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</si>
  <si>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</si>
  <si>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</si>
  <si>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</si>
  <si>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</si>
  <si>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</si>
  <si>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</si>
  <si>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</si>
  <si>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</si>
  <si>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</si>
  <si>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</si>
  <si>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</si>
  <si>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</si>
  <si>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</si>
  <si>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</si>
  <si>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</si>
  <si>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</si>
  <si>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</si>
  <si>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</si>
  <si>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Product Cost</t>
  </si>
  <si>
    <t>$78.37</t>
  </si>
  <si>
    <t>$24.6</t>
  </si>
  <si>
    <t>$360.85</t>
  </si>
  <si>
    <t>$406.62</t>
  </si>
  <si>
    <t>$479.03</t>
  </si>
  <si>
    <t>$178.54</t>
  </si>
  <si>
    <t>$280.5</t>
  </si>
  <si>
    <t>$32.45</t>
  </si>
  <si>
    <t>$232.17</t>
  </si>
  <si>
    <t>$353.89</t>
  </si>
  <si>
    <t>$129.96</t>
  </si>
  <si>
    <t>$423</t>
  </si>
  <si>
    <t>$42.43</t>
  </si>
  <si>
    <t>$80.01</t>
  </si>
  <si>
    <t>$219.93</t>
  </si>
  <si>
    <t>$54.55</t>
  </si>
  <si>
    <t>$198.54</t>
  </si>
  <si>
    <t>$363.15</t>
  </si>
  <si>
    <t>$87.5</t>
  </si>
  <si>
    <t>$316.4</t>
  </si>
  <si>
    <t>$89.16</t>
  </si>
  <si>
    <t>$64.82</t>
  </si>
  <si>
    <t>$51.97</t>
  </si>
  <si>
    <t>$473.96</t>
  </si>
  <si>
    <t>$274.26</t>
  </si>
  <si>
    <t>$192.98</t>
  </si>
  <si>
    <t>$20.31</t>
  </si>
  <si>
    <t>$319.24</t>
  </si>
  <si>
    <t>$146.45</t>
  </si>
  <si>
    <t>$129.07</t>
  </si>
  <si>
    <t>$183.61</t>
  </si>
  <si>
    <t>$176.26</t>
  </si>
  <si>
    <t>$216.72</t>
  </si>
  <si>
    <t>$34.79</t>
  </si>
  <si>
    <t>$245.87</t>
  </si>
  <si>
    <t>$463.99</t>
  </si>
  <si>
    <t>$248.47</t>
  </si>
  <si>
    <t>$39.87</t>
  </si>
  <si>
    <t>$427.83</t>
  </si>
  <si>
    <t>$43.3</t>
  </si>
  <si>
    <t>$29.47</t>
  </si>
  <si>
    <t>$137.78</t>
  </si>
  <si>
    <t>$326.3</t>
  </si>
  <si>
    <t>$498.09</t>
  </si>
  <si>
    <t>$181.01</t>
  </si>
  <si>
    <t>$276.18</t>
  </si>
  <si>
    <t>$335.06</t>
  </si>
  <si>
    <t>$148.06</t>
  </si>
  <si>
    <t>$453.61</t>
  </si>
  <si>
    <t>$387.85</t>
  </si>
  <si>
    <t>$284.84</t>
  </si>
  <si>
    <t>$280.74</t>
  </si>
  <si>
    <t>$185.33</t>
  </si>
  <si>
    <t>$377.24</t>
  </si>
  <si>
    <t>$463</t>
  </si>
  <si>
    <t>$197.45</t>
  </si>
  <si>
    <t>$412.06</t>
  </si>
  <si>
    <t>$433.53</t>
  </si>
  <si>
    <t>$272.75</t>
  </si>
  <si>
    <t>$63.12</t>
  </si>
  <si>
    <t>$198.75</t>
  </si>
  <si>
    <t>$463.53</t>
  </si>
  <si>
    <t>$461.18</t>
  </si>
  <si>
    <t>$210.11</t>
  </si>
  <si>
    <t>$335.82</t>
  </si>
  <si>
    <t>$278.49</t>
  </si>
  <si>
    <t>$330.81</t>
  </si>
  <si>
    <t>$451.58</t>
  </si>
  <si>
    <t>$313.44</t>
  </si>
  <si>
    <t>$32.64</t>
  </si>
  <si>
    <t>$105.27</t>
  </si>
  <si>
    <t>$346.93</t>
  </si>
  <si>
    <t>$237.63</t>
  </si>
  <si>
    <t>$270.25</t>
  </si>
  <si>
    <t>$257.34</t>
  </si>
  <si>
    <t>$131.15</t>
  </si>
  <si>
    <t>$47.97</t>
  </si>
  <si>
    <t>$77.8</t>
  </si>
  <si>
    <t>$172.13</t>
  </si>
  <si>
    <t>$387.2</t>
  </si>
  <si>
    <t>$156.32</t>
  </si>
  <si>
    <t>$117.52</t>
  </si>
  <si>
    <t>$401.09</t>
  </si>
  <si>
    <t>$454.4</t>
  </si>
  <si>
    <t>$236.23</t>
  </si>
  <si>
    <t>$175.38</t>
  </si>
  <si>
    <t>$377.02</t>
  </si>
  <si>
    <t>$107.69</t>
  </si>
  <si>
    <t>$66.05</t>
  </si>
  <si>
    <t>$482.23</t>
  </si>
  <si>
    <t>$465.15</t>
  </si>
  <si>
    <t>$348.4</t>
  </si>
  <si>
    <t>$492.08</t>
  </si>
  <si>
    <t>$43.79</t>
  </si>
  <si>
    <t>$480.79</t>
  </si>
  <si>
    <t>$483.08</t>
  </si>
  <si>
    <t>$368.2</t>
  </si>
  <si>
    <t>$377.73</t>
  </si>
  <si>
    <t>$169.26</t>
  </si>
  <si>
    <t>$302.12</t>
  </si>
  <si>
    <t>$362.84</t>
  </si>
  <si>
    <t>$18.45</t>
  </si>
  <si>
    <t>$190.82</t>
  </si>
  <si>
    <t>$354.4</t>
  </si>
  <si>
    <t>$164.62</t>
  </si>
  <si>
    <t>$145.48</t>
  </si>
  <si>
    <t>$121.47</t>
  </si>
  <si>
    <t>$487.4</t>
  </si>
  <si>
    <t>$149.33</t>
  </si>
  <si>
    <t>$244.09</t>
  </si>
  <si>
    <t>$36.27</t>
  </si>
  <si>
    <t>$384.58</t>
  </si>
  <si>
    <t>$455.17</t>
  </si>
  <si>
    <t>$308.72</t>
  </si>
  <si>
    <t>$86.96</t>
  </si>
  <si>
    <t>$347.79</t>
  </si>
  <si>
    <t>$354.46</t>
  </si>
  <si>
    <t>$467.5</t>
  </si>
  <si>
    <t>$79.7</t>
  </si>
  <si>
    <t>$70.93</t>
  </si>
  <si>
    <t>$224.5</t>
  </si>
  <si>
    <t>$54.75</t>
  </si>
  <si>
    <t>$383.92</t>
  </si>
  <si>
    <t>$223.58</t>
  </si>
  <si>
    <t>$338.37</t>
  </si>
  <si>
    <t>$408.65</t>
  </si>
  <si>
    <t>$66.8</t>
  </si>
  <si>
    <t>$36.56</t>
  </si>
  <si>
    <t>$140.86</t>
  </si>
  <si>
    <t>$308.35</t>
  </si>
  <si>
    <t>$209.92</t>
  </si>
  <si>
    <t>$361.14</t>
  </si>
  <si>
    <t>$233.83</t>
  </si>
  <si>
    <t>$76.89</t>
  </si>
  <si>
    <t>$11.26</t>
  </si>
  <si>
    <t>$273.9</t>
  </si>
  <si>
    <t>$167.67</t>
  </si>
  <si>
    <t>$390.02</t>
  </si>
  <si>
    <t>$412.17</t>
  </si>
  <si>
    <t>$436.15</t>
  </si>
  <si>
    <t>$210.89</t>
  </si>
  <si>
    <t>$349.43</t>
  </si>
  <si>
    <t>$362.17</t>
  </si>
  <si>
    <t>$319.27</t>
  </si>
  <si>
    <t>$437.56</t>
  </si>
  <si>
    <t>$37.5</t>
  </si>
  <si>
    <t>$287.3</t>
  </si>
  <si>
    <t>$322.57</t>
  </si>
  <si>
    <t>$87.41</t>
  </si>
  <si>
    <t>$233.85</t>
  </si>
  <si>
    <t>$290.24</t>
  </si>
  <si>
    <t>$287.31</t>
  </si>
  <si>
    <t>$402.95</t>
  </si>
  <si>
    <t>$363.25</t>
  </si>
  <si>
    <t>$226</t>
  </si>
  <si>
    <t>$213.6</t>
  </si>
  <si>
    <t>$143.54</t>
  </si>
  <si>
    <t>$481.82</t>
  </si>
  <si>
    <t>$203.34</t>
  </si>
  <si>
    <t>$339.45</t>
  </si>
  <si>
    <t>$313.58</t>
  </si>
  <si>
    <t>$237.49</t>
  </si>
  <si>
    <t>$159.14</t>
  </si>
  <si>
    <t>$232.29</t>
  </si>
  <si>
    <t>$85.72</t>
  </si>
  <si>
    <t>$26.03</t>
  </si>
  <si>
    <t>$490.65</t>
  </si>
  <si>
    <t>$484.42</t>
  </si>
  <si>
    <t>$173.42</t>
  </si>
  <si>
    <t>$115.82</t>
  </si>
  <si>
    <t>$492.17</t>
  </si>
  <si>
    <t>$22.63</t>
  </si>
  <si>
    <t>$140.03</t>
  </si>
  <si>
    <t>$391.23</t>
  </si>
  <si>
    <t>$31.25</t>
  </si>
  <si>
    <t>$39.8</t>
  </si>
  <si>
    <t>$227.35</t>
  </si>
  <si>
    <t>$315.92</t>
  </si>
  <si>
    <t>$232.32</t>
  </si>
  <si>
    <t>$115.36</t>
  </si>
  <si>
    <t>$367.51</t>
  </si>
  <si>
    <t>$462.26</t>
  </si>
  <si>
    <t>$372.01</t>
  </si>
  <si>
    <t>$338.31</t>
  </si>
  <si>
    <t>$182.31</t>
  </si>
  <si>
    <t>$63.03</t>
  </si>
  <si>
    <t>$220.27</t>
  </si>
  <si>
    <t>$332.34</t>
  </si>
  <si>
    <t>$161.4</t>
  </si>
  <si>
    <t>$206.38</t>
  </si>
  <si>
    <t>$215.72</t>
  </si>
  <si>
    <t>$51.63</t>
  </si>
  <si>
    <t>$143.33</t>
  </si>
  <si>
    <t>$115.63</t>
  </si>
  <si>
    <t>$342.46</t>
  </si>
  <si>
    <t>$36.84</t>
  </si>
  <si>
    <t>$68.79</t>
  </si>
  <si>
    <t>$122.75</t>
  </si>
  <si>
    <t>$223.75</t>
  </si>
  <si>
    <t>ORD-1200</t>
  </si>
  <si>
    <t>ORD-1201</t>
  </si>
  <si>
    <t>ORD-1202</t>
  </si>
  <si>
    <t>ORD-1203</t>
  </si>
  <si>
    <t>ORD-1204</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</si>
  <si>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</si>
  <si>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</si>
  <si>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</si>
  <si>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</si>
  <si>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</si>
  <si>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</si>
  <si>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</si>
  <si>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</si>
  <si>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</si>
  <si>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</si>
  <si>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</si>
  <si>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</si>
  <si>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</si>
  <si>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</si>
  <si>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</si>
  <si>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</si>
  <si>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</si>
  <si>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</si>
  <si>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</si>
  <si>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</si>
  <si>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</si>
  <si>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</si>
  <si>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</si>
  <si>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</si>
  <si>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</si>
  <si>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</si>
  <si>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</si>
  <si>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</si>
  <si>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</si>
  <si>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</si>
  <si>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</si>
  <si>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</si>
  <si>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</si>
  <si>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</si>
  <si>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</si>
  <si>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</si>
  <si>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</si>
  <si>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</si>
  <si>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</si>
  <si>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</si>
  <si>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</si>
  <si>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</si>
  <si>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</si>
  <si>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</si>
  <si>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</si>
  <si>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</si>
  <si>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</si>
  <si>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</si>
  <si>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</si>
  <si>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</si>
  <si>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</si>
  <si>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</si>
  <si>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</si>
  <si>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</si>
  <si>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</si>
  <si>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</si>
  <si>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</si>
  <si>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</si>
  <si>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</si>
  <si>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</si>
  <si>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</si>
  <si>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</si>
  <si>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</si>
  <si>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</si>
  <si>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</si>
  <si>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</si>
  <si>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</si>
  <si>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</si>
  <si>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</si>
  <si>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</si>
  <si>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</si>
  <si>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</si>
  <si>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</si>
  <si>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</si>
  <si>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</si>
  <si>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</si>
  <si>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</si>
  <si>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</si>
  <si>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</si>
  <si>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</si>
  <si>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</si>
  <si>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</si>
  <si>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</si>
  <si>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</si>
  <si>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</si>
  <si>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</si>
  <si>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</si>
  <si>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</si>
  <si>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</si>
  <si>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</si>
  <si>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</si>
  <si>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</si>
  <si>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</si>
  <si>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</si>
  <si>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</si>
  <si>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</si>
  <si>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</si>
  <si>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</si>
  <si>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</si>
  <si>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</si>
  <si>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</si>
  <si>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</si>
  <si>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</si>
  <si>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</si>
  <si>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</si>
  <si>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</si>
  <si>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</si>
  <si>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</si>
  <si>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</si>
  <si>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</si>
  <si>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</si>
  <si>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</si>
  <si>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</si>
  <si>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</si>
  <si>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</si>
  <si>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</si>
  <si>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</si>
  <si>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</si>
  <si>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</si>
  <si>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</si>
  <si>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</si>
  <si>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</si>
  <si>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</si>
  <si>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</si>
  <si>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</si>
  <si>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</si>
  <si>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</si>
  <si>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</si>
  <si>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</si>
  <si>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</si>
  <si>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</si>
  <si>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</si>
  <si>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</si>
  <si>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</si>
  <si>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</si>
  <si>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</si>
  <si>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</si>
  <si>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</si>
  <si>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</si>
  <si>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</si>
  <si>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</si>
  <si>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</si>
  <si>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</si>
  <si>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</si>
  <si>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</si>
  <si>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</si>
  <si>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</si>
  <si>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</si>
  <si>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</si>
  <si>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</si>
  <si>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</si>
  <si>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</si>
  <si>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</si>
  <si>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</si>
  <si>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</si>
  <si>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</si>
  <si>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</si>
  <si>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</si>
  <si>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</si>
  <si>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</si>
  <si>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Central</t>
  </si>
  <si>
    <t>Column1</t>
  </si>
  <si>
    <t>Column2</t>
  </si>
  <si>
    <t>Total</t>
  </si>
  <si>
    <t>YEAR</t>
  </si>
  <si>
    <t>Month</t>
  </si>
  <si>
    <t>Day of Week</t>
  </si>
  <si>
    <t>Total Sales Amount</t>
  </si>
  <si>
    <t>Average Order Value</t>
  </si>
  <si>
    <t>Number of Unique Products Sold</t>
  </si>
  <si>
    <t>Number of Orders</t>
  </si>
  <si>
    <t>Median Quantity Sold per order</t>
  </si>
  <si>
    <r>
      <t xml:space="preserve">                           </t>
    </r>
    <r>
      <rPr>
        <b/>
        <sz val="11"/>
        <color theme="1"/>
        <rFont val="Calibri"/>
        <family val="2"/>
        <scheme val="minor"/>
      </rPr>
      <t xml:space="preserve">         BASIC ANALYSIS</t>
    </r>
  </si>
  <si>
    <t xml:space="preserve">Discount Amount </t>
  </si>
  <si>
    <t>DISCOUNT PRICE</t>
  </si>
  <si>
    <t>DISOUNT USING IF</t>
  </si>
  <si>
    <t>%DISCOUNT</t>
  </si>
  <si>
    <t>5%</t>
  </si>
  <si>
    <t>10%</t>
  </si>
  <si>
    <t>20%</t>
  </si>
  <si>
    <t>30%</t>
  </si>
  <si>
    <t>Order Status .</t>
  </si>
  <si>
    <t>types of orders</t>
  </si>
  <si>
    <t>QUANTITY</t>
  </si>
  <si>
    <t>IF,AND</t>
  </si>
  <si>
    <t>CUSYOMER ID</t>
  </si>
  <si>
    <t>Region selection</t>
  </si>
  <si>
    <t>Target Sales</t>
  </si>
  <si>
    <t>Product Cost(VL)</t>
  </si>
  <si>
    <t>TOTAL PRODUCT COST</t>
  </si>
  <si>
    <t xml:space="preserve"> PRODUCT COST</t>
  </si>
  <si>
    <t>PROFIT</t>
  </si>
  <si>
    <t>TOTAL SALES FOR ELECTRONICS</t>
  </si>
  <si>
    <t>AVERAGE SALES FOR NORTH  REGION</t>
  </si>
  <si>
    <t>COUNT ORDERS WITH QUANTITY&gt;5</t>
  </si>
  <si>
    <t>TOTAL PROFIT FOR CLOTHING(WEST)</t>
  </si>
  <si>
    <t>7. Criteria based statistical fxns</t>
  </si>
  <si>
    <t>Row Labels</t>
  </si>
  <si>
    <t>Grand Total</t>
  </si>
  <si>
    <t>(All)</t>
  </si>
  <si>
    <t>Column Labels</t>
  </si>
  <si>
    <t>Sum of Sales Amount</t>
  </si>
  <si>
    <t>Total Sum of Sales Amount</t>
  </si>
  <si>
    <t>Total Sum of YEAR</t>
  </si>
  <si>
    <t>Sum of YEAR</t>
  </si>
  <si>
    <t>Average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</si>
</sst>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yyyy\-mm\-dd\ hh:mm:ss"/>
    <numFmt numFmtId="165" formatCode="&quot;$&quot;#,##0.00"/>
    <numFmt numFmtId="166" formatCode="_(* #,##0_);_(* \(#,##0\);_(* &quot;-&quot;??_);_(@_)"/>
  </numFmts>
  <fonts count="7" x14ac:knownFonts="1">
    <font>
      <sz val="11"/>
      <color theme="1"/>
      <name val="Calibri"/>
      <family val="2"/>
      <scheme val="minor"/>
    </font>
    <font>
      <b/>
      <sz val="11"/>
      <name val="Calibri"/>
    </font>
    <font>
      <b/>
      <sz val="11"/>
      <color theme="1"/>
      <name val="Calibri"/>
      <family val="2"/>
      <scheme val="minor"/>
    </font>
    <font>
      <sz val="8"/>
      <name val="Calibri"/>
      <family val="2"/>
      <scheme val="minor"/>
    </font>
    <font>
      <b/>
      <sz val="11"/>
      <name val="Calibri"/>
      <family val="2"/>
    </font>
    <font>
      <sz val="11"/>
      <color theme="1"/>
      <name val="Calibri"/>
      <family val="2"/>
      <scheme val="minor"/>
    </font>
    <font>
      <b/>
      <sz val="12"/>
      <color theme="1"/>
      <name val="Calibri"/>
      <family val="2"/>
      <scheme val="minor"/>
    </font>
  </fonts>
  <fills count="13">
    <fill>
      <patternFill patternType="none"/>
    </fill>
    <fill>
      <patternFill patternType="gray125"/>
    </fill>
    <fill>
      <patternFill patternType="solid">
        <fgColor theme="6"/>
        <bgColor indexed="64"/>
      </patternFill>
    </fill>
    <fill>
      <patternFill patternType="solid">
        <fgColor theme="2"/>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theme="0"/>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3"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2">
    <xf numFmtId="0" fontId="0" fillId="0" borderId="0"/>
    <xf numFmtId="43" fontId="5" fillId="0" borderId="0" applyFont="0" applyFill="0" applyBorder="0" applyAlignment="0" applyProtection="0"/>
  </cellStyleXfs>
  <cellXfs count="43">
    <xf numFmtId="0" fontId="0" fillId="0" borderId="0" xfId="0"/>
    <xf numFmtId="0" fontId="1" fillId="0" borderId="1" xfId="0" applyFont="1" applyBorder="1" applyAlignment="1">
      <alignment horizontal="center" vertical="top"/>
    </xf>
    <xf numFmtId="164" fontId="0" fillId="0" borderId="0" xfId="0" applyNumberFormat="1"/>
    <xf numFmtId="14" fontId="0" fillId="0" borderId="0" xfId="0" applyNumberFormat="1"/>
    <xf numFmtId="2" fontId="0" fillId="0" borderId="0" xfId="0" applyNumberFormat="1"/>
    <xf numFmtId="165" fontId="0" fillId="0" borderId="0" xfId="0" applyNumberFormat="1"/>
    <xf numFmtId="0" fontId="4" fillId="0" borderId="2" xfId="0" applyFont="1" applyBorder="1" applyAlignment="1">
      <alignment horizontal="center" vertical="top"/>
    </xf>
    <xf numFmtId="165" fontId="4" fillId="0" borderId="2" xfId="0" applyNumberFormat="1" applyFont="1" applyBorder="1" applyAlignment="1">
      <alignment horizontal="center" vertical="top"/>
    </xf>
    <xf numFmtId="0" fontId="2" fillId="0" borderId="0" xfId="0" applyFont="1"/>
    <xf numFmtId="1" fontId="4" fillId="0" borderId="2" xfId="0" applyNumberFormat="1" applyFont="1" applyBorder="1" applyAlignment="1">
      <alignment horizontal="center" vertical="top"/>
    </xf>
    <xf numFmtId="1" fontId="0" fillId="0" borderId="0" xfId="0" applyNumberFormat="1"/>
    <xf numFmtId="0" fontId="2" fillId="2" borderId="0" xfId="0" applyFont="1" applyFill="1"/>
    <xf numFmtId="165" fontId="0" fillId="2" borderId="0" xfId="0" applyNumberFormat="1" applyFill="1"/>
    <xf numFmtId="0" fontId="2" fillId="3" borderId="0" xfId="0" applyFont="1" applyFill="1"/>
    <xf numFmtId="165" fontId="0" fillId="3" borderId="0" xfId="0" applyNumberFormat="1" applyFill="1"/>
    <xf numFmtId="0" fontId="2" fillId="4" borderId="0" xfId="0" applyFont="1" applyFill="1"/>
    <xf numFmtId="0" fontId="0" fillId="4" borderId="0" xfId="0" applyFill="1"/>
    <xf numFmtId="0" fontId="2" fillId="5" borderId="0" xfId="0" applyFont="1" applyFill="1"/>
    <xf numFmtId="0" fontId="0" fillId="5" borderId="0" xfId="0" applyFill="1"/>
    <xf numFmtId="0" fontId="0" fillId="2" borderId="0" xfId="0" applyFill="1"/>
    <xf numFmtId="165" fontId="2" fillId="0" borderId="0" xfId="0" applyNumberFormat="1" applyFont="1"/>
    <xf numFmtId="9" fontId="0" fillId="6" borderId="0" xfId="0" applyNumberFormat="1" applyFill="1"/>
    <xf numFmtId="0" fontId="2" fillId="7" borderId="0" xfId="0" applyFont="1" applyFill="1"/>
    <xf numFmtId="165" fontId="0" fillId="7" borderId="0" xfId="0" applyNumberFormat="1" applyFill="1"/>
    <xf numFmtId="9" fontId="0" fillId="7" borderId="0" xfId="0" applyNumberFormat="1" applyFill="1"/>
    <xf numFmtId="166" fontId="0" fillId="6" borderId="0" xfId="1" applyNumberFormat="1" applyFont="1" applyFill="1"/>
    <xf numFmtId="166" fontId="0" fillId="0" borderId="0" xfId="1" applyNumberFormat="1" applyFont="1"/>
    <xf numFmtId="0" fontId="6" fillId="0" borderId="0" xfId="0" applyFont="1"/>
    <xf numFmtId="2" fontId="4" fillId="0" borderId="2" xfId="0" applyNumberFormat="1" applyFont="1" applyBorder="1" applyAlignment="1">
      <alignment horizontal="center" vertical="top"/>
    </xf>
    <xf numFmtId="0" fontId="0" fillId="8" borderId="0" xfId="0" applyFill="1"/>
    <xf numFmtId="165" fontId="0" fillId="8" borderId="0" xfId="0" applyNumberFormat="1" applyFill="1"/>
    <xf numFmtId="0" fontId="0" fillId="9" borderId="0" xfId="0" applyFill="1"/>
    <xf numFmtId="165" fontId="0" fillId="9" borderId="0" xfId="0" applyNumberFormat="1" applyFill="1"/>
    <xf numFmtId="0" fontId="0" fillId="10" borderId="0" xfId="0" applyFill="1"/>
    <xf numFmtId="165" fontId="0" fillId="10" borderId="0" xfId="0" applyNumberFormat="1" applyFill="1"/>
    <xf numFmtId="0" fontId="0" fillId="11" borderId="0" xfId="0" applyFill="1"/>
    <xf numFmtId="165" fontId="0" fillId="11" borderId="0" xfId="0" applyNumberFormat="1" applyFill="1"/>
    <xf numFmtId="0" fontId="0" fillId="12" borderId="0" xfId="0" applyFill="1"/>
    <xf numFmtId="165" fontId="0" fillId="12" borderId="0" xfId="0" applyNumberFormat="1" applyFill="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applyAlignment="1">
      <alignment horizontal="left"/>
    </xf>
  </cellXfs>
  <cellStyles count="2">
    <cellStyle name="Comma" xfId="1" builtinId="3"/>
    <cellStyle name="Normal" xfId="0" builtinId="0"/>
  </cellStyles>
  <dxfs count="35">
    <dxf>
      <numFmt numFmtId="165" formatCode="&quot;$&quot;#,##0.00"/>
    </dxf>
    <dxf>
      <numFmt numFmtId="165" formatCode="&quot;$&quot;#,##0.00"/>
    </dxf>
    <dxf>
      <numFmt numFmtId="165" formatCode="&quot;$&quot;#,##0.00"/>
    </dxf>
    <dxf>
      <numFmt numFmtId="1" formatCode="0"/>
    </dxf>
    <dxf>
      <numFmt numFmtId="165" formatCode="&quot;$&quot;#,##0.00"/>
    </dxf>
    <dxf>
      <numFmt numFmtId="165" formatCode="&quot;$&quot;#,##0.00"/>
    </dxf>
    <dxf>
      <numFmt numFmtId="2" formatCode="0.00"/>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b/>
        <i val="0"/>
        <strike val="0"/>
        <condense val="0"/>
        <extend val="0"/>
        <outline val="0"/>
        <shadow val="0"/>
        <u val="none"/>
        <vertAlign val="baseline"/>
        <sz val="12"/>
        <color theme="1"/>
        <name val="Calibri"/>
        <family val="2"/>
        <scheme val="minor"/>
      </font>
    </dxf>
    <dxf>
      <numFmt numFmtId="165" formatCode="&quot;$&quot;#,##0.00"/>
    </dxf>
    <dxf>
      <numFmt numFmtId="165" formatCode="&quot;$&quot;#,##0.00"/>
    </dxf>
    <dxf>
      <font>
        <b/>
        <i val="0"/>
        <strike val="0"/>
        <condense val="0"/>
        <extend val="0"/>
        <outline val="0"/>
        <shadow val="0"/>
        <u val="none"/>
        <vertAlign val="baseline"/>
        <sz val="11"/>
        <color theme="1"/>
        <name val="Calibri"/>
        <family val="2"/>
        <scheme val="minor"/>
      </font>
      <numFmt numFmtId="165" formatCode="&quot;$&quot;#,##0.00"/>
    </dxf>
    <dxf>
      <numFmt numFmtId="0" formatCode="General"/>
    </dxf>
    <dxf>
      <numFmt numFmtId="166" formatCode="_(* #,##0_);_(* \(#,##0\);_(* &quot;-&quot;??_);_(@_)"/>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13" formatCode="0%"/>
      <fill>
        <patternFill patternType="solid">
          <fgColor indexed="64"/>
          <bgColor theme="0"/>
        </patternFill>
      </fill>
    </dxf>
    <dxf>
      <numFmt numFmtId="165" formatCode="&quot;$&quot;#,##0.00"/>
    </dxf>
    <dxf>
      <numFmt numFmtId="165" formatCode="&quot;$&quot;#,##0.00"/>
    </dxf>
    <dxf>
      <numFmt numFmtId="165" formatCode="&quot;$&quot;#,##0.00"/>
    </dxf>
    <dxf>
      <numFmt numFmtId="0" formatCode="General"/>
    </dxf>
    <dxf>
      <numFmt numFmtId="0" formatCode="General"/>
    </dxf>
    <dxf>
      <numFmt numFmtId="1" formatCode="0"/>
    </dxf>
    <dxf>
      <numFmt numFmtId="165" formatCode="&quot;$&quot;#,##0.00"/>
    </dxf>
    <dxf>
      <numFmt numFmtId="165" formatCode="&quot;$&quot;#,##0.00"/>
    </dxf>
    <dxf>
      <numFmt numFmtId="2" formatCode="0.00"/>
    </dxf>
    <dxf>
      <numFmt numFmtId="19" formatCode="m/d/yyyy"/>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[Sales_Data_Assignment.xlsx]PIVOT_TOTAL_SALES!PivotTable3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rgbClr val="FF0000"/>
                </a:solidFill>
              </a:rPr>
              <a:t>Product Category Sales Overview</a:t>
            </a:r>
            <a:endParaRPr lang="en-US">
              <a:solidFill>
                <a:srgbClr val="FF0000"/>
              </a:solidFill>
            </a:endParaRPr>
          </a:p>
        </c:rich>
      </c:tx>
      <c:layout>
        <c:manualLayout>
          <c:xMode val="edge"/>
          <c:yMode val="edge"/>
          <c:x val="0.28304184537908372"/>
          <c:y val="0.1722166303593863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97960011096174"/>
          <c:y val="0.19974165912322778"/>
          <c:w val="0.56353989287924389"/>
          <c:h val="0.58491618100302412"/>
        </c:manualLayout>
      </c:layout>
      <c:barChart>
        <c:barDir val="col"/>
        <c:grouping val="clustered"/>
        <c:varyColors val="0"/>
        <c:ser>
          <c:idx val="0"/>
          <c:order val="0"/>
          <c:tx>
            <c:strRef>
              <c:f>PIVOT_TOTAL_SALES!$B$3:$B$5</c:f>
              <c:strCache>
                <c:ptCount val="1"/>
                <c:pt idx="0">
                  <c:v>Central - Sum of Sales Amount</c:v>
                </c:pt>
              </c:strCache>
            </c:strRef>
          </c:tx>
          <c:spPr>
            <a:solidFill>
              <a:schemeClr val="accent1"/>
            </a:solidFill>
            <a:ln>
              <a:noFill/>
            </a:ln>
            <a:effectLst/>
          </c:spPr>
          <c:invertIfNegative val="0"/>
          <c:cat>
            <c:strRef>
              <c:f>PIVOT_TOTAL_SALES!$A$6:$A$11</c:f>
              <c:strCache>
                <c:ptCount val="5"/>
                <c:pt idx="0">
                  <c:v>Clothing</c:v>
                </c:pt>
                <c:pt idx="1">
                  <c:v>Electronics</c:v>
                </c:pt>
                <c:pt idx="2">
                  <c:v>Home &amp; Kitchen</c:v>
                </c:pt>
                <c:pt idx="3">
                  <c:v>Office Supplies</c:v>
                </c:pt>
                <c:pt idx="4">
                  <c:v>Toys</c:v>
                </c:pt>
              </c:strCache>
            </c:strRef>
          </c:cat>
          <c:val>
            <c:numRef>
              <c:f>PIVOT_TOTAL_SALES!$B$6:$B$11</c:f>
              <c:numCache>
                <c:formatCode>"$"#,##0.00</c:formatCode>
                <c:ptCount val="5"/>
                <c:pt idx="0">
                  <c:v>23905.419999999995</c:v>
                </c:pt>
                <c:pt idx="1">
                  <c:v>10608.640000000001</c:v>
                </c:pt>
                <c:pt idx="2">
                  <c:v>7964.1500000000005</c:v>
                </c:pt>
                <c:pt idx="3">
                  <c:v>14966.529999999999</c:v>
                </c:pt>
                <c:pt idx="4">
                  <c:v>21898.21</c:v>
                </c:pt>
              </c:numCache>
            </c:numRef>
          </c:val>
          <c:extLst>
            <c:ext xmlns:c16="http://schemas.microsoft.com/office/drawing/2014/chart" uri="{C3380CC4-5D6E-409C-BE32-E72D297353CC}">
              <c16:uniqueId val="{00000000-298D-4699-9057-01FA6361FA79}"/>
            </c:ext>
          </c:extLst>
        </c:ser>
        <c:ser>
          <c:idx val="1"/>
          <c:order val="1"/>
          <c:tx>
            <c:strRef>
              <c:f>PIVOT_TOTAL_SALES!$C$3:$C$5</c:f>
              <c:strCache>
                <c:ptCount val="1"/>
                <c:pt idx="0">
                  <c:v>Central - Sum of YEAR</c:v>
                </c:pt>
              </c:strCache>
            </c:strRef>
          </c:tx>
          <c:spPr>
            <a:solidFill>
              <a:schemeClr val="accent2"/>
            </a:solidFill>
            <a:ln>
              <a:noFill/>
            </a:ln>
            <a:effectLst/>
          </c:spPr>
          <c:invertIfNegative val="0"/>
          <c:cat>
            <c:strRef>
              <c:f>PIVOT_TOTAL_SALES!$A$6:$A$11</c:f>
              <c:strCache>
                <c:ptCount val="5"/>
                <c:pt idx="0">
                  <c:v>Clothing</c:v>
                </c:pt>
                <c:pt idx="1">
                  <c:v>Electronics</c:v>
                </c:pt>
                <c:pt idx="2">
                  <c:v>Home &amp; Kitchen</c:v>
                </c:pt>
                <c:pt idx="3">
                  <c:v>Office Supplies</c:v>
                </c:pt>
                <c:pt idx="4">
                  <c:v>Toys</c:v>
                </c:pt>
              </c:strCache>
            </c:strRef>
          </c:cat>
          <c:val>
            <c:numRef>
              <c:f>PIVOT_TOTAL_SALES!$C$6:$C$11</c:f>
              <c:numCache>
                <c:formatCode>0</c:formatCode>
                <c:ptCount val="5"/>
                <c:pt idx="0">
                  <c:v>18220</c:v>
                </c:pt>
                <c:pt idx="1">
                  <c:v>16199</c:v>
                </c:pt>
                <c:pt idx="2">
                  <c:v>10124</c:v>
                </c:pt>
                <c:pt idx="3">
                  <c:v>16200</c:v>
                </c:pt>
                <c:pt idx="4">
                  <c:v>18222</c:v>
                </c:pt>
              </c:numCache>
            </c:numRef>
          </c:val>
          <c:extLst>
            <c:ext xmlns:c16="http://schemas.microsoft.com/office/drawing/2014/chart" uri="{C3380CC4-5D6E-409C-BE32-E72D297353CC}">
              <c16:uniqueId val="{00000001-298D-4699-9057-01FA6361FA79}"/>
            </c:ext>
          </c:extLst>
        </c:ser>
        <c:ser>
          <c:idx val="2"/>
          <c:order val="2"/>
          <c:tx>
            <c:strRef>
              <c:f>PIVOT_TOTAL_SALES!$D$3:$D$5</c:f>
              <c:strCache>
                <c:ptCount val="1"/>
                <c:pt idx="0">
                  <c:v>East - Sum of Sales Amount</c:v>
                </c:pt>
              </c:strCache>
            </c:strRef>
          </c:tx>
          <c:spPr>
            <a:solidFill>
              <a:schemeClr val="accent3"/>
            </a:solidFill>
            <a:ln>
              <a:noFill/>
            </a:ln>
            <a:effectLst/>
          </c:spPr>
          <c:invertIfNegative val="0"/>
          <c:cat>
            <c:strRef>
              <c:f>PIVOT_TOTAL_SALES!$A$6:$A$11</c:f>
              <c:strCache>
                <c:ptCount val="5"/>
                <c:pt idx="0">
                  <c:v>Clothing</c:v>
                </c:pt>
                <c:pt idx="1">
                  <c:v>Electronics</c:v>
                </c:pt>
                <c:pt idx="2">
                  <c:v>Home &amp; Kitchen</c:v>
                </c:pt>
                <c:pt idx="3">
                  <c:v>Office Supplies</c:v>
                </c:pt>
                <c:pt idx="4">
                  <c:v>Toys</c:v>
                </c:pt>
              </c:strCache>
            </c:strRef>
          </c:cat>
          <c:val>
            <c:numRef>
              <c:f>PIVOT_TOTAL_SALES!$D$6:$D$11</c:f>
              <c:numCache>
                <c:formatCode>"$"#,##0.00</c:formatCode>
                <c:ptCount val="5"/>
                <c:pt idx="0">
                  <c:v>8232.82</c:v>
                </c:pt>
                <c:pt idx="1">
                  <c:v>11251.21</c:v>
                </c:pt>
                <c:pt idx="2">
                  <c:v>21359.329999999998</c:v>
                </c:pt>
                <c:pt idx="3">
                  <c:v>15229.619999999999</c:v>
                </c:pt>
                <c:pt idx="4">
                  <c:v>13586.19</c:v>
                </c:pt>
              </c:numCache>
            </c:numRef>
          </c:val>
          <c:extLst>
            <c:ext xmlns:c16="http://schemas.microsoft.com/office/drawing/2014/chart" uri="{C3380CC4-5D6E-409C-BE32-E72D297353CC}">
              <c16:uniqueId val="{00000002-298D-4699-9057-01FA6361FA79}"/>
            </c:ext>
          </c:extLst>
        </c:ser>
        <c:ser>
          <c:idx val="3"/>
          <c:order val="3"/>
          <c:tx>
            <c:strRef>
              <c:f>PIVOT_TOTAL_SALES!$E$3:$E$5</c:f>
              <c:strCache>
                <c:ptCount val="1"/>
                <c:pt idx="0">
                  <c:v>East - Sum of YEAR</c:v>
                </c:pt>
              </c:strCache>
            </c:strRef>
          </c:tx>
          <c:spPr>
            <a:solidFill>
              <a:schemeClr val="accent4"/>
            </a:solidFill>
            <a:ln>
              <a:noFill/>
            </a:ln>
            <a:effectLst/>
          </c:spPr>
          <c:invertIfNegative val="0"/>
          <c:cat>
            <c:strRef>
              <c:f>PIVOT_TOTAL_SALES!$A$6:$A$11</c:f>
              <c:strCache>
                <c:ptCount val="5"/>
                <c:pt idx="0">
                  <c:v>Clothing</c:v>
                </c:pt>
                <c:pt idx="1">
                  <c:v>Electronics</c:v>
                </c:pt>
                <c:pt idx="2">
                  <c:v>Home &amp; Kitchen</c:v>
                </c:pt>
                <c:pt idx="3">
                  <c:v>Office Supplies</c:v>
                </c:pt>
                <c:pt idx="4">
                  <c:v>Toys</c:v>
                </c:pt>
              </c:strCache>
            </c:strRef>
          </c:cat>
          <c:val>
            <c:numRef>
              <c:f>PIVOT_TOTAL_SALES!$E$6:$E$11</c:f>
              <c:numCache>
                <c:formatCode>0</c:formatCode>
                <c:ptCount val="5"/>
                <c:pt idx="0">
                  <c:v>14174</c:v>
                </c:pt>
                <c:pt idx="1">
                  <c:v>16200</c:v>
                </c:pt>
                <c:pt idx="2">
                  <c:v>16198</c:v>
                </c:pt>
                <c:pt idx="3">
                  <c:v>14174</c:v>
                </c:pt>
                <c:pt idx="4">
                  <c:v>14173</c:v>
                </c:pt>
              </c:numCache>
            </c:numRef>
          </c:val>
          <c:extLst>
            <c:ext xmlns:c16="http://schemas.microsoft.com/office/drawing/2014/chart" uri="{C3380CC4-5D6E-409C-BE32-E72D297353CC}">
              <c16:uniqueId val="{00000003-298D-4699-9057-01FA6361FA79}"/>
            </c:ext>
          </c:extLst>
        </c:ser>
        <c:ser>
          <c:idx val="4"/>
          <c:order val="4"/>
          <c:tx>
            <c:strRef>
              <c:f>PIVOT_TOTAL_SALES!$F$3:$F$5</c:f>
              <c:strCache>
                <c:ptCount val="1"/>
                <c:pt idx="0">
                  <c:v>North - Sum of Sales Amount</c:v>
                </c:pt>
              </c:strCache>
            </c:strRef>
          </c:tx>
          <c:spPr>
            <a:solidFill>
              <a:schemeClr val="accent5"/>
            </a:solidFill>
            <a:ln>
              <a:noFill/>
            </a:ln>
            <a:effectLst/>
          </c:spPr>
          <c:invertIfNegative val="0"/>
          <c:cat>
            <c:strRef>
              <c:f>PIVOT_TOTAL_SALES!$A$6:$A$11</c:f>
              <c:strCache>
                <c:ptCount val="5"/>
                <c:pt idx="0">
                  <c:v>Clothing</c:v>
                </c:pt>
                <c:pt idx="1">
                  <c:v>Electronics</c:v>
                </c:pt>
                <c:pt idx="2">
                  <c:v>Home &amp; Kitchen</c:v>
                </c:pt>
                <c:pt idx="3">
                  <c:v>Office Supplies</c:v>
                </c:pt>
                <c:pt idx="4">
                  <c:v>Toys</c:v>
                </c:pt>
              </c:strCache>
            </c:strRef>
          </c:cat>
          <c:val>
            <c:numRef>
              <c:f>PIVOT_TOTAL_SALES!$F$6:$F$11</c:f>
              <c:numCache>
                <c:formatCode>"$"#,##0.00</c:formatCode>
                <c:ptCount val="5"/>
                <c:pt idx="0">
                  <c:v>24391.249999999996</c:v>
                </c:pt>
                <c:pt idx="1">
                  <c:v>19359.7</c:v>
                </c:pt>
                <c:pt idx="2">
                  <c:v>22157.75</c:v>
                </c:pt>
                <c:pt idx="3">
                  <c:v>28350.29</c:v>
                </c:pt>
                <c:pt idx="4">
                  <c:v>12305.11</c:v>
                </c:pt>
              </c:numCache>
            </c:numRef>
          </c:val>
          <c:extLst>
            <c:ext xmlns:c16="http://schemas.microsoft.com/office/drawing/2014/chart" uri="{C3380CC4-5D6E-409C-BE32-E72D297353CC}">
              <c16:uniqueId val="{00000004-298D-4699-9057-01FA6361FA79}"/>
            </c:ext>
          </c:extLst>
        </c:ser>
        <c:ser>
          <c:idx val="5"/>
          <c:order val="5"/>
          <c:tx>
            <c:strRef>
              <c:f>PIVOT_TOTAL_SALES!$G$3:$G$5</c:f>
              <c:strCache>
                <c:ptCount val="1"/>
                <c:pt idx="0">
                  <c:v>North - Sum of YEAR</c:v>
                </c:pt>
              </c:strCache>
            </c:strRef>
          </c:tx>
          <c:spPr>
            <a:solidFill>
              <a:schemeClr val="accent6"/>
            </a:solidFill>
            <a:ln>
              <a:noFill/>
            </a:ln>
            <a:effectLst/>
          </c:spPr>
          <c:invertIfNegative val="0"/>
          <c:cat>
            <c:strRef>
              <c:f>PIVOT_TOTAL_SALES!$A$6:$A$11</c:f>
              <c:strCache>
                <c:ptCount val="5"/>
                <c:pt idx="0">
                  <c:v>Clothing</c:v>
                </c:pt>
                <c:pt idx="1">
                  <c:v>Electronics</c:v>
                </c:pt>
                <c:pt idx="2">
                  <c:v>Home &amp; Kitchen</c:v>
                </c:pt>
                <c:pt idx="3">
                  <c:v>Office Supplies</c:v>
                </c:pt>
                <c:pt idx="4">
                  <c:v>Toys</c:v>
                </c:pt>
              </c:strCache>
            </c:strRef>
          </c:cat>
          <c:val>
            <c:numRef>
              <c:f>PIVOT_TOTAL_SALES!$G$6:$G$11</c:f>
              <c:numCache>
                <c:formatCode>0</c:formatCode>
                <c:ptCount val="5"/>
                <c:pt idx="0">
                  <c:v>22272</c:v>
                </c:pt>
                <c:pt idx="1">
                  <c:v>18223</c:v>
                </c:pt>
                <c:pt idx="2">
                  <c:v>14174</c:v>
                </c:pt>
                <c:pt idx="3">
                  <c:v>22274</c:v>
                </c:pt>
                <c:pt idx="4">
                  <c:v>14172</c:v>
                </c:pt>
              </c:numCache>
            </c:numRef>
          </c:val>
          <c:extLst>
            <c:ext xmlns:c16="http://schemas.microsoft.com/office/drawing/2014/chart" uri="{C3380CC4-5D6E-409C-BE32-E72D297353CC}">
              <c16:uniqueId val="{00000005-298D-4699-9057-01FA6361FA79}"/>
            </c:ext>
          </c:extLst>
        </c:ser>
        <c:ser>
          <c:idx val="6"/>
          <c:order val="6"/>
          <c:tx>
            <c:strRef>
              <c:f>PIVOT_TOTAL_SALES!$H$3:$H$5</c:f>
              <c:strCache>
                <c:ptCount val="1"/>
                <c:pt idx="0">
                  <c:v>South - Sum of Sales Amount</c:v>
                </c:pt>
              </c:strCache>
            </c:strRef>
          </c:tx>
          <c:spPr>
            <a:solidFill>
              <a:schemeClr val="accent1">
                <a:lumMod val="60000"/>
              </a:schemeClr>
            </a:solidFill>
            <a:ln>
              <a:noFill/>
            </a:ln>
            <a:effectLst/>
          </c:spPr>
          <c:invertIfNegative val="0"/>
          <c:cat>
            <c:strRef>
              <c:f>PIVOT_TOTAL_SALES!$A$6:$A$11</c:f>
              <c:strCache>
                <c:ptCount val="5"/>
                <c:pt idx="0">
                  <c:v>Clothing</c:v>
                </c:pt>
                <c:pt idx="1">
                  <c:v>Electronics</c:v>
                </c:pt>
                <c:pt idx="2">
                  <c:v>Home &amp; Kitchen</c:v>
                </c:pt>
                <c:pt idx="3">
                  <c:v>Office Supplies</c:v>
                </c:pt>
                <c:pt idx="4">
                  <c:v>Toys</c:v>
                </c:pt>
              </c:strCache>
            </c:strRef>
          </c:cat>
          <c:val>
            <c:numRef>
              <c:f>PIVOT_TOTAL_SALES!$H$6:$H$11</c:f>
              <c:numCache>
                <c:formatCode>"$"#,##0.00</c:formatCode>
                <c:ptCount val="5"/>
                <c:pt idx="0">
                  <c:v>11909.22</c:v>
                </c:pt>
                <c:pt idx="1">
                  <c:v>10630.849999999999</c:v>
                </c:pt>
                <c:pt idx="2">
                  <c:v>21879.940000000002</c:v>
                </c:pt>
                <c:pt idx="3">
                  <c:v>18295.73</c:v>
                </c:pt>
                <c:pt idx="4">
                  <c:v>28659.45</c:v>
                </c:pt>
              </c:numCache>
            </c:numRef>
          </c:val>
          <c:extLst>
            <c:ext xmlns:c16="http://schemas.microsoft.com/office/drawing/2014/chart" uri="{C3380CC4-5D6E-409C-BE32-E72D297353CC}">
              <c16:uniqueId val="{00000006-298D-4699-9057-01FA6361FA79}"/>
            </c:ext>
          </c:extLst>
        </c:ser>
        <c:ser>
          <c:idx val="7"/>
          <c:order val="7"/>
          <c:tx>
            <c:strRef>
              <c:f>PIVOT_TOTAL_SALES!$I$3:$I$5</c:f>
              <c:strCache>
                <c:ptCount val="1"/>
                <c:pt idx="0">
                  <c:v>South - Sum of YEAR</c:v>
                </c:pt>
              </c:strCache>
            </c:strRef>
          </c:tx>
          <c:spPr>
            <a:solidFill>
              <a:schemeClr val="accent2">
                <a:lumMod val="60000"/>
              </a:schemeClr>
            </a:solidFill>
            <a:ln>
              <a:noFill/>
            </a:ln>
            <a:effectLst/>
          </c:spPr>
          <c:invertIfNegative val="0"/>
          <c:cat>
            <c:strRef>
              <c:f>PIVOT_TOTAL_SALES!$A$6:$A$11</c:f>
              <c:strCache>
                <c:ptCount val="5"/>
                <c:pt idx="0">
                  <c:v>Clothing</c:v>
                </c:pt>
                <c:pt idx="1">
                  <c:v>Electronics</c:v>
                </c:pt>
                <c:pt idx="2">
                  <c:v>Home &amp; Kitchen</c:v>
                </c:pt>
                <c:pt idx="3">
                  <c:v>Office Supplies</c:v>
                </c:pt>
                <c:pt idx="4">
                  <c:v>Toys</c:v>
                </c:pt>
              </c:strCache>
            </c:strRef>
          </c:cat>
          <c:val>
            <c:numRef>
              <c:f>PIVOT_TOTAL_SALES!$I$6:$I$11</c:f>
              <c:numCache>
                <c:formatCode>0</c:formatCode>
                <c:ptCount val="5"/>
                <c:pt idx="0">
                  <c:v>22273</c:v>
                </c:pt>
                <c:pt idx="1">
                  <c:v>20245</c:v>
                </c:pt>
                <c:pt idx="2">
                  <c:v>16199</c:v>
                </c:pt>
                <c:pt idx="3">
                  <c:v>16198</c:v>
                </c:pt>
                <c:pt idx="4">
                  <c:v>20250</c:v>
                </c:pt>
              </c:numCache>
            </c:numRef>
          </c:val>
          <c:extLst>
            <c:ext xmlns:c16="http://schemas.microsoft.com/office/drawing/2014/chart" uri="{C3380CC4-5D6E-409C-BE32-E72D297353CC}">
              <c16:uniqueId val="{00000007-298D-4699-9057-01FA6361FA79}"/>
            </c:ext>
          </c:extLst>
        </c:ser>
        <c:ser>
          <c:idx val="8"/>
          <c:order val="8"/>
          <c:tx>
            <c:strRef>
              <c:f>PIVOT_TOTAL_SALES!$J$3:$J$5</c:f>
              <c:strCache>
                <c:ptCount val="1"/>
                <c:pt idx="0">
                  <c:v>West - Sum of Sales Amount</c:v>
                </c:pt>
              </c:strCache>
            </c:strRef>
          </c:tx>
          <c:spPr>
            <a:solidFill>
              <a:schemeClr val="accent3">
                <a:lumMod val="60000"/>
              </a:schemeClr>
            </a:solidFill>
            <a:ln>
              <a:noFill/>
            </a:ln>
            <a:effectLst/>
          </c:spPr>
          <c:invertIfNegative val="0"/>
          <c:cat>
            <c:strRef>
              <c:f>PIVOT_TOTAL_SALES!$A$6:$A$11</c:f>
              <c:strCache>
                <c:ptCount val="5"/>
                <c:pt idx="0">
                  <c:v>Clothing</c:v>
                </c:pt>
                <c:pt idx="1">
                  <c:v>Electronics</c:v>
                </c:pt>
                <c:pt idx="2">
                  <c:v>Home &amp; Kitchen</c:v>
                </c:pt>
                <c:pt idx="3">
                  <c:v>Office Supplies</c:v>
                </c:pt>
                <c:pt idx="4">
                  <c:v>Toys</c:v>
                </c:pt>
              </c:strCache>
            </c:strRef>
          </c:cat>
          <c:val>
            <c:numRef>
              <c:f>PIVOT_TOTAL_SALES!$J$6:$J$11</c:f>
              <c:numCache>
                <c:formatCode>"$"#,##0.00</c:formatCode>
                <c:ptCount val="5"/>
                <c:pt idx="0">
                  <c:v>16449.11</c:v>
                </c:pt>
                <c:pt idx="1">
                  <c:v>10697.809999999998</c:v>
                </c:pt>
                <c:pt idx="2">
                  <c:v>20732.739999999994</c:v>
                </c:pt>
                <c:pt idx="3">
                  <c:v>21923.82</c:v>
                </c:pt>
                <c:pt idx="4">
                  <c:v>6363.1299999999992</c:v>
                </c:pt>
              </c:numCache>
            </c:numRef>
          </c:val>
          <c:extLst>
            <c:ext xmlns:c16="http://schemas.microsoft.com/office/drawing/2014/chart" uri="{C3380CC4-5D6E-409C-BE32-E72D297353CC}">
              <c16:uniqueId val="{00000008-298D-4699-9057-01FA6361FA79}"/>
            </c:ext>
          </c:extLst>
        </c:ser>
        <c:ser>
          <c:idx val="9"/>
          <c:order val="9"/>
          <c:tx>
            <c:strRef>
              <c:f>PIVOT_TOTAL_SALES!$K$3:$K$5</c:f>
              <c:strCache>
                <c:ptCount val="1"/>
                <c:pt idx="0">
                  <c:v>West - Sum of YEAR</c:v>
                </c:pt>
              </c:strCache>
            </c:strRef>
          </c:tx>
          <c:spPr>
            <a:solidFill>
              <a:schemeClr val="accent4">
                <a:lumMod val="60000"/>
              </a:schemeClr>
            </a:solidFill>
            <a:ln>
              <a:noFill/>
            </a:ln>
            <a:effectLst/>
          </c:spPr>
          <c:invertIfNegative val="0"/>
          <c:cat>
            <c:strRef>
              <c:f>PIVOT_TOTAL_SALES!$A$6:$A$11</c:f>
              <c:strCache>
                <c:ptCount val="5"/>
                <c:pt idx="0">
                  <c:v>Clothing</c:v>
                </c:pt>
                <c:pt idx="1">
                  <c:v>Electronics</c:v>
                </c:pt>
                <c:pt idx="2">
                  <c:v>Home &amp; Kitchen</c:v>
                </c:pt>
                <c:pt idx="3">
                  <c:v>Office Supplies</c:v>
                </c:pt>
                <c:pt idx="4">
                  <c:v>Toys</c:v>
                </c:pt>
              </c:strCache>
            </c:strRef>
          </c:cat>
          <c:val>
            <c:numRef>
              <c:f>PIVOT_TOTAL_SALES!$K$6:$K$11</c:f>
              <c:numCache>
                <c:formatCode>0</c:formatCode>
                <c:ptCount val="5"/>
                <c:pt idx="0">
                  <c:v>14174</c:v>
                </c:pt>
                <c:pt idx="1">
                  <c:v>12150</c:v>
                </c:pt>
                <c:pt idx="2">
                  <c:v>26324</c:v>
                </c:pt>
                <c:pt idx="3">
                  <c:v>14175</c:v>
                </c:pt>
                <c:pt idx="4">
                  <c:v>8099</c:v>
                </c:pt>
              </c:numCache>
            </c:numRef>
          </c:val>
          <c:extLst>
            <c:ext xmlns:c16="http://schemas.microsoft.com/office/drawing/2014/chart" uri="{C3380CC4-5D6E-409C-BE32-E72D297353CC}">
              <c16:uniqueId val="{00000009-298D-4699-9057-01FA6361FA79}"/>
            </c:ext>
          </c:extLst>
        </c:ser>
        <c:dLbls>
          <c:showLegendKey val="0"/>
          <c:showVal val="0"/>
          <c:showCatName val="0"/>
          <c:showSerName val="0"/>
          <c:showPercent val="0"/>
          <c:showBubbleSize val="0"/>
        </c:dLbls>
        <c:gapWidth val="219"/>
        <c:overlap val="-27"/>
        <c:axId val="369675800"/>
        <c:axId val="369676160"/>
      </c:barChart>
      <c:catAx>
        <c:axId val="369675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676160"/>
        <c:crosses val="autoZero"/>
        <c:auto val="1"/>
        <c:lblAlgn val="ctr"/>
        <c:lblOffset val="100"/>
        <c:noMultiLvlLbl val="0"/>
      </c:catAx>
      <c:valAx>
        <c:axId val="369676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Total</a:t>
                </a:r>
                <a:r>
                  <a:rPr lang="en-US" baseline="0">
                    <a:solidFill>
                      <a:schemeClr val="tx1"/>
                    </a:solidFill>
                  </a:rPr>
                  <a:t> Sales</a:t>
                </a:r>
                <a:endParaRPr lang="en-US">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675800"/>
        <c:crosses val="autoZero"/>
        <c:crossBetween val="between"/>
      </c:valAx>
      <c:spPr>
        <a:noFill/>
        <a:ln>
          <a:noFill/>
        </a:ln>
        <a:effectLst/>
      </c:spPr>
    </c:plotArea>
    <c:legend>
      <c:legendPos val="r"/>
      <c:layout>
        <c:manualLayout>
          <c:xMode val="edge"/>
          <c:yMode val="edge"/>
          <c:x val="0.75338753387533874"/>
          <c:y val="0.61165356959989337"/>
          <c:w val="0.23848238482384823"/>
          <c:h val="0.354818831609733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[Sales_Data_Assignment.xlsx]LINE_CHART!PivotTable5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FF0000"/>
                </a:solidFill>
              </a:rPr>
              <a:t>Total sales trend over months</a:t>
            </a:r>
            <a:r>
              <a:rPr lang="en-US" sz="1400" b="0" i="0" u="none" strike="noStrike" baseline="0">
                <a:solidFill>
                  <a:srgbClr val="FF0000"/>
                </a:solidFill>
              </a:rPr>
              <a:t>.</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95551490251255"/>
          <c:y val="0.31889726262760854"/>
          <c:w val="0.57584989249540697"/>
          <c:h val="0.37262289340472166"/>
        </c:manualLayout>
      </c:layout>
      <c:lineChart>
        <c:grouping val="stacked"/>
        <c:varyColors val="0"/>
        <c:ser>
          <c:idx val="0"/>
          <c:order val="0"/>
          <c:tx>
            <c:strRef>
              <c:f>LINE_CHART!$B$3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LINE_CHART!$A$4:$A$14</c:f>
              <c:multiLvlStrCache>
                <c:ptCount val="8"/>
                <c:lvl>
                  <c:pt idx="0">
                    <c:v>11</c:v>
                  </c:pt>
                  <c:pt idx="1">
                    <c:v>12</c:v>
                  </c:pt>
                  <c:pt idx="2">
                    <c:v>1</c:v>
                  </c:pt>
                  <c:pt idx="3">
                    <c:v>2</c:v>
                  </c:pt>
                  <c:pt idx="4">
                    <c:v>3</c:v>
                  </c:pt>
                  <c:pt idx="5">
                    <c:v>4</c:v>
                  </c:pt>
                  <c:pt idx="6">
                    <c:v>5</c:v>
                  </c:pt>
                  <c:pt idx="7">
                    <c:v>6</c:v>
                  </c:pt>
                </c:lvl>
                <c:lvl>
                  <c:pt idx="0">
                    <c:v>2024</c:v>
                  </c:pt>
                  <c:pt idx="2">
                    <c:v>2025</c:v>
                  </c:pt>
                </c:lvl>
              </c:multiLvlStrCache>
            </c:multiLvlStrRef>
          </c:cat>
          <c:val>
            <c:numRef>
              <c:f>LINE_CHART!$B$4:$B$14</c:f>
              <c:numCache>
                <c:formatCode>"$"#,##0.00</c:formatCode>
                <c:ptCount val="8"/>
                <c:pt idx="0">
                  <c:v>8909.9399999999987</c:v>
                </c:pt>
                <c:pt idx="1">
                  <c:v>55041.839999999989</c:v>
                </c:pt>
                <c:pt idx="2">
                  <c:v>82634.47</c:v>
                </c:pt>
                <c:pt idx="3">
                  <c:v>65546.170000000013</c:v>
                </c:pt>
                <c:pt idx="4">
                  <c:v>51335.830000000024</c:v>
                </c:pt>
                <c:pt idx="5">
                  <c:v>78103.819999999992</c:v>
                </c:pt>
                <c:pt idx="6">
                  <c:v>64398.97</c:v>
                </c:pt>
                <c:pt idx="7">
                  <c:v>17136.98</c:v>
                </c:pt>
              </c:numCache>
            </c:numRef>
          </c:val>
          <c:smooth val="0"/>
          <c:extLst>
            <c:ext xmlns:c16="http://schemas.microsoft.com/office/drawing/2014/chart" uri="{C3380CC4-5D6E-409C-BE32-E72D297353CC}">
              <c16:uniqueId val="{00000000-7A01-4C1D-AFF6-7CC326A5854A}"/>
            </c:ext>
          </c:extLst>
        </c:ser>
        <c:dLbls>
          <c:dLblPos val="t"/>
          <c:showLegendKey val="0"/>
          <c:showVal val="0"/>
          <c:showCatName val="0"/>
          <c:showSerName val="0"/>
          <c:showPercent val="0"/>
          <c:showBubbleSize val="0"/>
        </c:dLbls>
        <c:marker val="1"/>
        <c:smooth val="0"/>
        <c:axId val="530415504"/>
        <c:axId val="530414064"/>
      </c:lineChart>
      <c:catAx>
        <c:axId val="530415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solidFill>
                      <a:schemeClr val="tx1"/>
                    </a:solidFill>
                  </a:rPr>
                  <a:t>Year &amp; Month </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414064"/>
        <c:crosses val="autoZero"/>
        <c:auto val="1"/>
        <c:lblAlgn val="ctr"/>
        <c:lblOffset val="100"/>
        <c:noMultiLvlLbl val="0"/>
      </c:catAx>
      <c:valAx>
        <c:axId val="530414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solidFill>
                      <a:schemeClr val="tx1"/>
                    </a:solidFill>
                  </a:rPr>
                  <a:t>Sum of Total Sales</a:t>
                </a:r>
                <a:endParaRPr lang="en-US">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41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[Sales_Data_Assignment.xlsx] Bar_Chart!PivotTable6</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5 Products by Sales Amount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Bar_Chart'!$B$3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 Bar_Chart'!$A$4:$A$9</c:f>
              <c:strCache>
                <c:ptCount val="5"/>
                <c:pt idx="0">
                  <c:v>Air Fryer</c:v>
                </c:pt>
                <c:pt idx="1">
                  <c:v>Lego Set</c:v>
                </c:pt>
                <c:pt idx="2">
                  <c:v>Monitor</c:v>
                </c:pt>
                <c:pt idx="3">
                  <c:v>Pen Set</c:v>
                </c:pt>
                <c:pt idx="4">
                  <c:v>Stapler</c:v>
                </c:pt>
              </c:strCache>
            </c:strRef>
          </c:cat>
          <c:val>
            <c:numRef>
              <c:f>' Bar_Chart'!$B$4:$B$9</c:f>
              <c:numCache>
                <c:formatCode>"$"#,##0.00</c:formatCode>
                <c:ptCount val="5"/>
                <c:pt idx="0">
                  <c:v>37491.69</c:v>
                </c:pt>
                <c:pt idx="1">
                  <c:v>29341.139999999996</c:v>
                </c:pt>
                <c:pt idx="2">
                  <c:v>22852.579999999998</c:v>
                </c:pt>
                <c:pt idx="3">
                  <c:v>21892.230000000003</c:v>
                </c:pt>
                <c:pt idx="4">
                  <c:v>26942.790000000005</c:v>
                </c:pt>
              </c:numCache>
            </c:numRef>
          </c:val>
          <c:extLst>
            <c:ext xmlns:c16="http://schemas.microsoft.com/office/drawing/2014/chart" uri="{C3380CC4-5D6E-409C-BE32-E72D297353CC}">
              <c16:uniqueId val="{00000000-3DDE-4E43-A1BE-83FE7C4CD799}"/>
            </c:ext>
          </c:extLst>
        </c:ser>
        <c:dLbls>
          <c:dLblPos val="outEnd"/>
          <c:showLegendKey val="0"/>
          <c:showVal val="1"/>
          <c:showCatName val="0"/>
          <c:showSerName val="0"/>
          <c:showPercent val="0"/>
          <c:showBubbleSize val="0"/>
        </c:dLbls>
        <c:gapWidth val="100"/>
        <c:axId val="369677600"/>
        <c:axId val="369678320"/>
      </c:barChart>
      <c:catAx>
        <c:axId val="36967760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Product Name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69678320"/>
        <c:crosses val="autoZero"/>
        <c:auto val="1"/>
        <c:lblAlgn val="ctr"/>
        <c:lblOffset val="100"/>
        <c:noMultiLvlLbl val="0"/>
      </c:catAx>
      <c:valAx>
        <c:axId val="369678320"/>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Sales Amount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6967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7</xdr:col>
      <xdr:colOff>209550</xdr:colOff>
      <xdr:row>11</xdr:row>
      <xdr:rowOff>147636</xdr:rowOff>
    </xdr:from>
    <xdr:to>
      <xdr:col>11</xdr:col>
      <xdr:colOff>609600</xdr:colOff>
      <xdr:row>28</xdr:row>
      <xdr:rowOff>47625</xdr:rowOff>
    </xdr:to>
    <xdr:graphicFrame macro="">
      <xdr:nvGraphicFramePr>
        <xdr:cNvPr id="2" name="Chart 1">
          <a:extLst>
            <a:ext uri="{FF2B5EF4-FFF2-40B4-BE49-F238E27FC236}">
              <a16:creationId xmlns:a16="http://schemas.microsoft.com/office/drawing/2014/main" id="{3882C3F8-3BE9-4245-BB9D-C294C14450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114300</xdr:colOff>
      <xdr:row>0</xdr:row>
      <xdr:rowOff>76200</xdr:rowOff>
    </xdr:from>
    <xdr:to>
      <xdr:col>12</xdr:col>
      <xdr:colOff>114300</xdr:colOff>
      <xdr:row>13</xdr:row>
      <xdr:rowOff>123825</xdr:rowOff>
    </xdr:to>
    <mc:AlternateContent xmlns:mc="http://schemas.openxmlformats.org/markup-compatibility/2006">
      <mc:Choice xmlns:a14="http://schemas.microsoft.com/office/drawing/2010/main" Requires="a14">
        <xdr:graphicFrame macro="">
          <xdr:nvGraphicFramePr>
            <xdr:cNvPr id="2" name="Segment">
              <a:extLst>
                <a:ext uri="{FF2B5EF4-FFF2-40B4-BE49-F238E27FC236}">
                  <a16:creationId xmlns:a16="http://schemas.microsoft.com/office/drawing/2014/main" id="{6220613E-E455-6D0F-7B89-BD102B24F08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5943600" y="76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66675</xdr:colOff>
      <xdr:row>6</xdr:row>
      <xdr:rowOff>95250</xdr:rowOff>
    </xdr:from>
    <xdr:to>
      <xdr:col>14</xdr:col>
      <xdr:colOff>66675</xdr:colOff>
      <xdr:row>19</xdr:row>
      <xdr:rowOff>142875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6D1C1B5A-B352-9EA6-278F-67BADA68522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115175" y="1238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76200</xdr:colOff>
      <xdr:row>9</xdr:row>
      <xdr:rowOff>47625</xdr:rowOff>
    </xdr:from>
    <xdr:to>
      <xdr:col>16</xdr:col>
      <xdr:colOff>76200</xdr:colOff>
      <xdr:row>22</xdr:row>
      <xdr:rowOff>95250</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EF7D0A2C-9413-0C4C-7533-BCA45DBA733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343900" y="17621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57150</xdr:colOff>
      <xdr:row>13</xdr:row>
      <xdr:rowOff>38100</xdr:rowOff>
    </xdr:from>
    <xdr:to>
      <xdr:col>18</xdr:col>
      <xdr:colOff>57150</xdr:colOff>
      <xdr:row>26</xdr:row>
      <xdr:rowOff>85725</xdr:rowOff>
    </xdr:to>
    <mc:AlternateContent xmlns:mc="http://schemas.openxmlformats.org/markup-compatibility/2006">
      <mc:Choice xmlns:a14="http://schemas.microsoft.com/office/drawing/2010/main" Requires="a14">
        <xdr:graphicFrame macro="">
          <xdr:nvGraphicFramePr>
            <xdr:cNvPr id="5" name="YEAR">
              <a:extLst>
                <a:ext uri="{FF2B5EF4-FFF2-40B4-BE49-F238E27FC236}">
                  <a16:creationId xmlns:a16="http://schemas.microsoft.com/office/drawing/2014/main" id="{96A9CF4B-9FBF-B984-1C31-19BDC83BFBE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544050" y="2514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452437</xdr:colOff>
      <xdr:row>1</xdr:row>
      <xdr:rowOff>90487</xdr:rowOff>
    </xdr:from>
    <xdr:to>
      <xdr:col>12</xdr:col>
      <xdr:colOff>276225</xdr:colOff>
      <xdr:row>14</xdr:row>
      <xdr:rowOff>38100</xdr:rowOff>
    </xdr:to>
    <xdr:graphicFrame macro="">
      <xdr:nvGraphicFramePr>
        <xdr:cNvPr id="2" name="Chart 1">
          <a:extLst>
            <a:ext uri="{FF2B5EF4-FFF2-40B4-BE49-F238E27FC236}">
              <a16:creationId xmlns:a16="http://schemas.microsoft.com/office/drawing/2014/main" id="{63328EB7-37E2-95B3-F738-745EB8B65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252412</xdr:colOff>
      <xdr:row>1</xdr:row>
      <xdr:rowOff>14287</xdr:rowOff>
    </xdr:from>
    <xdr:to>
      <xdr:col>11</xdr:col>
      <xdr:colOff>557212</xdr:colOff>
      <xdr:row>15</xdr:row>
      <xdr:rowOff>90487</xdr:rowOff>
    </xdr:to>
    <xdr:graphicFrame macro="">
      <xdr:nvGraphicFramePr>
        <xdr:cNvPr id="2" name="Chart 1">
          <a:extLst>
            <a:ext uri="{FF2B5EF4-FFF2-40B4-BE49-F238E27FC236}">
              <a16:creationId xmlns:a16="http://schemas.microsoft.com/office/drawing/2014/main" id="{96B82B7E-87DE-BD6D-93B1-2D2B61E31A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ANA" refreshedDate="46086.663707754633" createdVersion="8" refreshedVersion="8" minRefreshableVersion="3" recordCount="205" xr:uid="{C4C7678E-8FBC-44F7-A1E3-E19CB592F11F}">
  <cacheSource type="worksheet">
    <worksheetSource name="Table2[[Segment]:[PROFIT]]"/>
  </cacheSource>
  <cacheFields count="13">
    <cacheField name="Segment" numFmtId="0">
      <sharedItems count="3">
        <s v="Consumer"/>
        <s v="Corporate"/>
        <s v="Home Office"/>
      </sharedItems>
    </cacheField>
    <cacheField name="Region" numFmtId="0">
      <sharedItems count="5">
        <s v="North"/>
        <s v="Central"/>
        <s v="West"/>
        <s v="East"/>
        <s v="South"/>
      </sharedItems>
    </cacheField>
    <cacheField name="Category" numFmtId="0">
      <sharedItems count="5">
        <s v="Electronics"/>
        <s v="Toys"/>
        <s v="Clothing"/>
        <s v="Home &amp; Kitchen"/>
        <s v="Office Supplies"/>
      </sharedItems>
    </cacheField>
    <cacheField name="Product" numFmtId="0">
      <sharedItems/>
    </cacheField>
    <cacheField name="Quantity" numFmtId="2">
      <sharedItems containsSemiMixedTypes="0" containsString="0" containsNumber="1" containsInteger="1" minValue="1" maxValue="15"/>
    </cacheField>
    <cacheField name="Unit Price" numFmtId="165">
      <sharedItems containsSemiMixedTypes="0" containsString="0" containsNumber="1" minValue="11.26" maxValue="498.09"/>
    </cacheField>
    <cacheField name="Sales Amount" numFmtId="165">
      <sharedItems containsSemiMixedTypes="0" containsString="0" containsNumber="1" minValue="24.6" maxValue="6890.38"/>
    </cacheField>
    <cacheField name="YEAR" numFmtId="1">
      <sharedItems containsSemiMixedTypes="0" containsString="0" containsNumber="1" containsInteger="1" minValue="2024" maxValue="2025" count="2">
        <n v="2024"/>
        <n v="2025"/>
      </sharedItems>
    </cacheField>
    <cacheField name="Month" numFmtId="0">
      <sharedItems containsSemiMixedTypes="0" containsString="0" containsNumber="1" containsInteger="1" minValue="1" maxValue="12"/>
    </cacheField>
    <cacheField name="Day of Week" numFmtId="0">
      <sharedItems containsSemiMixedTypes="0" containsString="0" containsNumber="1" containsInteger="1" minValue="1" maxValue="7"/>
    </cacheField>
    <cacheField name="Product Cost(VL)" numFmtId="165">
      <sharedItems containsSemiMixedTypes="0" containsString="0" containsNumber="1" minValue="10.11" maxValue="230.68"/>
    </cacheField>
    <cacheField name=" PRODUCT COST" numFmtId="165">
      <sharedItems containsSemiMixedTypes="0" containsString="0" containsNumber="1" minValue="20.22" maxValue="3455.1"/>
    </cacheField>
    <cacheField name="PROFIT" numFmtId="165">
      <sharedItems containsSemiMixedTypes="0" containsString="0" containsNumber="1" minValue="-2808.96" maxValue="5655.8600000000006"/>
    </cacheField>
  </cacheFields>
  <extLst>
    <ext xmlns:x14="http://schemas.microsoft.com/office/spreadsheetml/2009/9/main" uri="{725AE2AE-9491-48be-B2B4-4EB974FC3084}">
      <x14:pivotCacheDefinition pivotCacheId="189820243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ANA" refreshedDate="46087.064930671295" createdVersion="8" refreshedVersion="8" minRefreshableVersion="3" recordCount="205" xr:uid="{E060296F-60EF-4FEA-9222-B20D8A393A04}">
  <cacheSource type="worksheet">
    <worksheetSource name="Table2"/>
  </cacheSource>
  <cacheFields count="16">
    <cacheField name="Order ID" numFmtId="0">
      <sharedItems/>
    </cacheField>
    <cacheField name="Order Date" numFmtId="14">
      <sharedItems containsSemiMixedTypes="0" containsNonDate="0" containsDate="1" containsString="0" minDate="2024-11-23T00:00:00" maxDate="2025-06-16T00:00:00"/>
    </cacheField>
    <cacheField name="Customer ID" numFmtId="0">
      <sharedItems/>
    </cacheField>
    <cacheField name="Segment" numFmtId="0">
      <sharedItems/>
    </cacheField>
    <cacheField name="Region" numFmtId="0">
      <sharedItems/>
    </cacheField>
    <cacheField name="Category" numFmtId="0">
      <sharedItems/>
    </cacheField>
    <cacheField name="Product" numFmtId="0">
      <sharedItems count="25">
        <s v="Tablet"/>
        <s v="Headphones"/>
        <s v="Action Figure"/>
        <s v="Sweater"/>
        <s v="Coffee Maker"/>
        <s v="Stapler"/>
        <s v="Board Game"/>
        <s v="T-Shirt"/>
        <s v="Toaster"/>
        <s v="Desk Lamp"/>
        <s v="Puzzle"/>
        <s v="Jeans"/>
        <s v="Air Fryer"/>
        <s v="Blender"/>
        <s v="Socks"/>
        <s v="Smartphone"/>
        <s v="Lego Set"/>
        <s v="Vacuum"/>
        <s v="Laptop"/>
        <s v="Monitor"/>
        <s v="Paper Shredder"/>
        <s v="Doll"/>
        <s v="Notebook"/>
        <s v="Pen Set"/>
        <s v="Jacket"/>
      </sharedItems>
    </cacheField>
    <cacheField name="Quantity" numFmtId="2">
      <sharedItems containsSemiMixedTypes="0" containsString="0" containsNumber="1" containsInteger="1" minValue="1" maxValue="15"/>
    </cacheField>
    <cacheField name="Unit Price" numFmtId="165">
      <sharedItems containsSemiMixedTypes="0" containsString="0" containsNumber="1" minValue="11.26" maxValue="498.09"/>
    </cacheField>
    <cacheField name="Sales Amount" numFmtId="165">
      <sharedItems containsSemiMixedTypes="0" containsString="0" containsNumber="1" minValue="24.6" maxValue="6890.38"/>
    </cacheField>
    <cacheField name="YEAR" numFmtId="1">
      <sharedItems containsSemiMixedTypes="0" containsString="0" containsNumber="1" containsInteger="1" minValue="2024" maxValue="2025" count="2">
        <n v="2024"/>
        <n v="2025"/>
      </sharedItems>
    </cacheField>
    <cacheField name="Month" numFmtId="0">
      <sharedItems containsSemiMixedTypes="0" containsString="0" containsNumber="1" containsInteger="1" minValue="1" maxValue="12" count="8">
        <n v="11"/>
        <n v="12"/>
        <n v="1"/>
        <n v="2"/>
        <n v="3"/>
        <n v="4"/>
        <n v="5"/>
        <n v="6"/>
      </sharedItems>
    </cacheField>
    <cacheField name="Day of Week" numFmtId="0">
      <sharedItems containsSemiMixedTypes="0" containsString="0" containsNumber="1" containsInteger="1" minValue="1" maxValue="7"/>
    </cacheField>
    <cacheField name="Product Cost(VL)" numFmtId="165">
      <sharedItems containsSemiMixedTypes="0" containsString="0" containsNumber="1" minValue="10.11" maxValue="230.68"/>
    </cacheField>
    <cacheField name=" PRODUCT COST" numFmtId="165">
      <sharedItems containsSemiMixedTypes="0" containsString="0" containsNumber="1" minValue="20.22" maxValue="3455.1"/>
    </cacheField>
    <cacheField name="PROFIT" numFmtId="165">
      <sharedItems containsSemiMixedTypes="0" containsString="0" containsNumber="1" minValue="-2808.96" maxValue="5655.860000000000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5">
  <r>
    <x v="0"/>
    <x v="0"/>
    <x v="0"/>
    <s v="Tablet"/>
    <n v="4"/>
    <n v="78.37"/>
    <n v="313.48"/>
    <x v="0"/>
    <n v="11"/>
    <n v="7"/>
    <n v="146.06"/>
    <n v="584.24"/>
    <n v="-270.76"/>
  </r>
  <r>
    <x v="1"/>
    <x v="1"/>
    <x v="0"/>
    <s v="Headphones"/>
    <n v="1"/>
    <n v="78.38"/>
    <n v="78.38"/>
    <x v="0"/>
    <n v="11"/>
    <n v="1"/>
    <n v="178.83"/>
    <n v="178.83"/>
    <n v="-100.45000000000002"/>
  </r>
  <r>
    <x v="2"/>
    <x v="1"/>
    <x v="1"/>
    <s v="Action Figure"/>
    <n v="4"/>
    <n v="360.85"/>
    <n v="1443.4"/>
    <x v="0"/>
    <n v="11"/>
    <n v="2"/>
    <n v="88.18"/>
    <n v="352.72"/>
    <n v="1090.68"/>
  </r>
  <r>
    <x v="2"/>
    <x v="2"/>
    <x v="2"/>
    <s v="Sweater"/>
    <n v="5"/>
    <n v="406.62"/>
    <n v="2033.1"/>
    <x v="0"/>
    <n v="11"/>
    <n v="3"/>
    <n v="84.57"/>
    <n v="422.84999999999997"/>
    <n v="1610.25"/>
  </r>
  <r>
    <x v="0"/>
    <x v="2"/>
    <x v="3"/>
    <s v="Coffee Maker"/>
    <n v="4"/>
    <n v="479.03"/>
    <n v="1916.12"/>
    <x v="0"/>
    <n v="11"/>
    <n v="4"/>
    <n v="230.34"/>
    <n v="921.36"/>
    <n v="994.75999999999988"/>
  </r>
  <r>
    <x v="1"/>
    <x v="0"/>
    <x v="4"/>
    <s v="Stapler"/>
    <n v="14"/>
    <n v="178.54"/>
    <n v="2499.56"/>
    <x v="0"/>
    <n v="11"/>
    <n v="5"/>
    <n v="64.61"/>
    <n v="904.54"/>
    <n v="1595.02"/>
  </r>
  <r>
    <x v="1"/>
    <x v="2"/>
    <x v="1"/>
    <s v="Action Figure"/>
    <n v="2"/>
    <n v="280.5"/>
    <n v="561"/>
    <x v="0"/>
    <n v="11"/>
    <n v="6"/>
    <n v="88.18"/>
    <n v="176.36"/>
    <n v="384.64"/>
  </r>
  <r>
    <x v="2"/>
    <x v="3"/>
    <x v="1"/>
    <s v="Board Game"/>
    <n v="2"/>
    <n v="32.450000000000003"/>
    <n v="64.900000000000006"/>
    <x v="0"/>
    <n v="11"/>
    <n v="7"/>
    <n v="86.6"/>
    <n v="173.2"/>
    <n v="-108.29999999999998"/>
  </r>
  <r>
    <x v="1"/>
    <x v="0"/>
    <x v="2"/>
    <s v="T-Shirt"/>
    <n v="5"/>
    <n v="232.17"/>
    <n v="1160.8499999999999"/>
    <x v="0"/>
    <n v="12"/>
    <n v="1"/>
    <n v="107.34"/>
    <n v="536.70000000000005"/>
    <n v="624.14999999999986"/>
  </r>
  <r>
    <x v="2"/>
    <x v="3"/>
    <x v="3"/>
    <s v="Toaster"/>
    <n v="5"/>
    <n v="353.89"/>
    <n v="1769.4499999999998"/>
    <x v="0"/>
    <n v="12"/>
    <n v="2"/>
    <n v="208.85"/>
    <n v="1044.25"/>
    <n v="725.19999999999982"/>
  </r>
  <r>
    <x v="2"/>
    <x v="0"/>
    <x v="1"/>
    <s v="Board Game"/>
    <n v="12"/>
    <n v="129.96"/>
    <n v="1559.52"/>
    <x v="0"/>
    <n v="12"/>
    <n v="3"/>
    <n v="86.6"/>
    <n v="1039.1999999999998"/>
    <n v="520.32000000000016"/>
  </r>
  <r>
    <x v="2"/>
    <x v="3"/>
    <x v="1"/>
    <s v="Board Game"/>
    <n v="6"/>
    <n v="423"/>
    <n v="2538"/>
    <x v="0"/>
    <n v="12"/>
    <n v="4"/>
    <n v="86.6"/>
    <n v="519.59999999999991"/>
    <n v="2018.4"/>
  </r>
  <r>
    <x v="1"/>
    <x v="4"/>
    <x v="0"/>
    <s v="Tablet"/>
    <n v="5"/>
    <n v="42.43"/>
    <n v="212.15"/>
    <x v="0"/>
    <n v="12"/>
    <n v="5"/>
    <n v="146.06"/>
    <n v="730.3"/>
    <n v="-518.15"/>
  </r>
  <r>
    <x v="2"/>
    <x v="4"/>
    <x v="4"/>
    <s v="Desk Lamp"/>
    <n v="8"/>
    <n v="80.010000000000005"/>
    <n v="640.08000000000004"/>
    <x v="0"/>
    <n v="12"/>
    <n v="6"/>
    <n v="101.96"/>
    <n v="815.68"/>
    <n v="-175.59999999999991"/>
  </r>
  <r>
    <x v="2"/>
    <x v="1"/>
    <x v="1"/>
    <s v="Puzzle"/>
    <n v="10"/>
    <n v="219.93"/>
    <n v="2199.3000000000002"/>
    <x v="0"/>
    <n v="12"/>
    <n v="7"/>
    <n v="46.19"/>
    <n v="461.9"/>
    <n v="1737.4"/>
  </r>
  <r>
    <x v="2"/>
    <x v="3"/>
    <x v="2"/>
    <s v="Jeans"/>
    <n v="8"/>
    <n v="54.55"/>
    <n v="436.4"/>
    <x v="0"/>
    <n v="12"/>
    <n v="1"/>
    <n v="33.22"/>
    <n v="265.76"/>
    <n v="170.64"/>
  </r>
  <r>
    <x v="2"/>
    <x v="4"/>
    <x v="2"/>
    <s v="Sweater"/>
    <n v="2"/>
    <n v="198.54"/>
    <n v="397.08"/>
    <x v="0"/>
    <n v="12"/>
    <n v="2"/>
    <n v="84.57"/>
    <n v="169.14"/>
    <n v="227.94"/>
  </r>
  <r>
    <x v="0"/>
    <x v="1"/>
    <x v="3"/>
    <s v="Air Fryer"/>
    <n v="11"/>
    <n v="363.15"/>
    <n v="3994.6499999999996"/>
    <x v="0"/>
    <n v="12"/>
    <n v="3"/>
    <n v="211.9"/>
    <n v="2330.9"/>
    <n v="1663.7499999999995"/>
  </r>
  <r>
    <x v="1"/>
    <x v="3"/>
    <x v="3"/>
    <s v="Blender"/>
    <n v="7"/>
    <n v="87.5"/>
    <n v="612.5"/>
    <x v="0"/>
    <n v="12"/>
    <n v="4"/>
    <n v="156.44"/>
    <n v="1095.08"/>
    <n v="-482.57999999999993"/>
  </r>
  <r>
    <x v="0"/>
    <x v="1"/>
    <x v="2"/>
    <s v="Socks"/>
    <n v="14"/>
    <n v="316.39999999999998"/>
    <n v="4429.5999999999995"/>
    <x v="0"/>
    <n v="12"/>
    <n v="5"/>
    <n v="201.32"/>
    <n v="2818.48"/>
    <n v="1611.1199999999994"/>
  </r>
  <r>
    <x v="1"/>
    <x v="1"/>
    <x v="2"/>
    <s v="Jeans"/>
    <n v="13"/>
    <n v="89.16"/>
    <n v="1159.08"/>
    <x v="0"/>
    <n v="12"/>
    <n v="6"/>
    <n v="33.22"/>
    <n v="431.86"/>
    <n v="727.21999999999991"/>
  </r>
  <r>
    <x v="1"/>
    <x v="0"/>
    <x v="1"/>
    <s v="Puzzle"/>
    <n v="1"/>
    <n v="64.819999999999993"/>
    <n v="64.819999999999993"/>
    <x v="0"/>
    <n v="12"/>
    <n v="7"/>
    <n v="46.19"/>
    <n v="46.19"/>
    <n v="18.629999999999995"/>
  </r>
  <r>
    <x v="2"/>
    <x v="4"/>
    <x v="0"/>
    <s v="Smartphone"/>
    <n v="2"/>
    <n v="51.97"/>
    <n v="103.94"/>
    <x v="0"/>
    <n v="12"/>
    <n v="1"/>
    <n v="216.22"/>
    <n v="432.44"/>
    <n v="-328.5"/>
  </r>
  <r>
    <x v="2"/>
    <x v="1"/>
    <x v="2"/>
    <s v="Jeans"/>
    <n v="8"/>
    <n v="473.96"/>
    <n v="3791.68"/>
    <x v="0"/>
    <n v="12"/>
    <n v="2"/>
    <n v="33.22"/>
    <n v="265.76"/>
    <n v="3525.92"/>
  </r>
  <r>
    <x v="0"/>
    <x v="1"/>
    <x v="1"/>
    <s v="Lego Set"/>
    <n v="15"/>
    <n v="274.26"/>
    <n v="4113.8999999999996"/>
    <x v="0"/>
    <n v="12"/>
    <n v="3"/>
    <n v="130.07"/>
    <n v="1951.05"/>
    <n v="2162.8499999999995"/>
  </r>
  <r>
    <x v="2"/>
    <x v="4"/>
    <x v="3"/>
    <s v="Vacuum"/>
    <n v="11"/>
    <n v="192.98"/>
    <n v="2122.7799999999997"/>
    <x v="0"/>
    <n v="12"/>
    <n v="4"/>
    <n v="26.59"/>
    <n v="292.49"/>
    <n v="1830.2899999999997"/>
  </r>
  <r>
    <x v="0"/>
    <x v="0"/>
    <x v="2"/>
    <s v="Jeans"/>
    <n v="6"/>
    <n v="20.309999999999999"/>
    <n v="121.85999999999999"/>
    <x v="0"/>
    <n v="12"/>
    <n v="5"/>
    <n v="33.22"/>
    <n v="199.32"/>
    <n v="-77.460000000000008"/>
  </r>
  <r>
    <x v="0"/>
    <x v="1"/>
    <x v="2"/>
    <s v="T-Shirt"/>
    <n v="12"/>
    <n v="319.24"/>
    <n v="3830.88"/>
    <x v="0"/>
    <n v="12"/>
    <n v="6"/>
    <n v="107.34"/>
    <n v="1288.08"/>
    <n v="2542.8000000000002"/>
  </r>
  <r>
    <x v="2"/>
    <x v="0"/>
    <x v="3"/>
    <s v="Blender"/>
    <n v="4"/>
    <n v="146.44999999999999"/>
    <n v="585.79999999999995"/>
    <x v="0"/>
    <n v="12"/>
    <n v="7"/>
    <n v="156.44"/>
    <n v="625.76"/>
    <n v="-39.960000000000036"/>
  </r>
  <r>
    <x v="2"/>
    <x v="1"/>
    <x v="2"/>
    <s v="Socks"/>
    <n v="8"/>
    <n v="129.07"/>
    <n v="1032.56"/>
    <x v="0"/>
    <n v="12"/>
    <n v="1"/>
    <n v="201.32"/>
    <n v="1610.56"/>
    <n v="-578"/>
  </r>
  <r>
    <x v="2"/>
    <x v="4"/>
    <x v="0"/>
    <s v="Laptop"/>
    <n v="7"/>
    <n v="183.61"/>
    <n v="1285.27"/>
    <x v="0"/>
    <n v="12"/>
    <n v="2"/>
    <n v="230.68"/>
    <n v="1614.76"/>
    <n v="-329.49"/>
  </r>
  <r>
    <x v="1"/>
    <x v="0"/>
    <x v="0"/>
    <s v="Laptop"/>
    <n v="12"/>
    <n v="176.26"/>
    <n v="2115.12"/>
    <x v="0"/>
    <n v="12"/>
    <n v="3"/>
    <n v="230.68"/>
    <n v="2768.16"/>
    <n v="-653.04"/>
  </r>
  <r>
    <x v="1"/>
    <x v="4"/>
    <x v="2"/>
    <s v="Socks"/>
    <n v="3"/>
    <n v="216.72"/>
    <n v="650.16"/>
    <x v="0"/>
    <n v="12"/>
    <n v="4"/>
    <n v="201.32"/>
    <n v="603.96"/>
    <n v="46.199999999999932"/>
  </r>
  <r>
    <x v="2"/>
    <x v="4"/>
    <x v="0"/>
    <s v="Monitor"/>
    <n v="2"/>
    <n v="34.79"/>
    <n v="69.58"/>
    <x v="0"/>
    <n v="12"/>
    <n v="5"/>
    <n v="145.47999999999999"/>
    <n v="290.95999999999998"/>
    <n v="-221.38"/>
  </r>
  <r>
    <x v="1"/>
    <x v="0"/>
    <x v="2"/>
    <s v="Jeans"/>
    <n v="8"/>
    <n v="245.87"/>
    <n v="1966.96"/>
    <x v="0"/>
    <n v="12"/>
    <n v="6"/>
    <n v="33.22"/>
    <n v="265.76"/>
    <n v="1701.2"/>
  </r>
  <r>
    <x v="1"/>
    <x v="4"/>
    <x v="4"/>
    <s v="Stapler"/>
    <n v="5"/>
    <n v="463.99"/>
    <n v="2319.9499999999998"/>
    <x v="0"/>
    <n v="12"/>
    <n v="7"/>
    <n v="64.61"/>
    <n v="323.05"/>
    <n v="1996.8999999999999"/>
  </r>
  <r>
    <x v="2"/>
    <x v="3"/>
    <x v="4"/>
    <s v="Paper Shredder"/>
    <n v="12"/>
    <n v="248.47"/>
    <n v="2981.64"/>
    <x v="0"/>
    <n v="12"/>
    <n v="1"/>
    <n v="81.02"/>
    <n v="972.24"/>
    <n v="2009.3999999999999"/>
  </r>
  <r>
    <x v="2"/>
    <x v="4"/>
    <x v="0"/>
    <s v="Headphones"/>
    <n v="9"/>
    <n v="39.869999999999997"/>
    <n v="358.83"/>
    <x v="0"/>
    <n v="12"/>
    <n v="2"/>
    <n v="178.83"/>
    <n v="1609.47"/>
    <n v="-1250.6400000000001"/>
  </r>
  <r>
    <x v="2"/>
    <x v="0"/>
    <x v="1"/>
    <s v="Lego Set"/>
    <n v="15"/>
    <n v="427.83"/>
    <n v="6417.45"/>
    <x v="0"/>
    <n v="12"/>
    <n v="3"/>
    <n v="130.07"/>
    <n v="1951.05"/>
    <n v="4466.3999999999996"/>
  </r>
  <r>
    <x v="0"/>
    <x v="1"/>
    <x v="0"/>
    <s v="Smartphone"/>
    <n v="10"/>
    <n v="43.3"/>
    <n v="433"/>
    <x v="1"/>
    <n v="1"/>
    <n v="4"/>
    <n v="216.22"/>
    <n v="2162.1999999999998"/>
    <n v="-1729.1999999999998"/>
  </r>
  <r>
    <x v="2"/>
    <x v="0"/>
    <x v="1"/>
    <s v="Board Game"/>
    <n v="10"/>
    <n v="29.47"/>
    <n v="294.7"/>
    <x v="1"/>
    <n v="1"/>
    <n v="5"/>
    <n v="86.6"/>
    <n v="866"/>
    <n v="-571.29999999999995"/>
  </r>
  <r>
    <x v="1"/>
    <x v="1"/>
    <x v="1"/>
    <s v="Doll"/>
    <n v="15"/>
    <n v="137.78"/>
    <n v="2066.6999999999998"/>
    <x v="1"/>
    <n v="1"/>
    <n v="6"/>
    <n v="32.94"/>
    <n v="494.09999999999997"/>
    <n v="1572.6"/>
  </r>
  <r>
    <x v="0"/>
    <x v="4"/>
    <x v="3"/>
    <s v="Vacuum"/>
    <n v="11"/>
    <n v="326.3"/>
    <n v="3589.3"/>
    <x v="1"/>
    <n v="1"/>
    <n v="7"/>
    <n v="26.59"/>
    <n v="292.49"/>
    <n v="3296.8100000000004"/>
  </r>
  <r>
    <x v="2"/>
    <x v="0"/>
    <x v="0"/>
    <s v="Monitor"/>
    <n v="10"/>
    <n v="498.09"/>
    <n v="4980.8999999999996"/>
    <x v="1"/>
    <n v="1"/>
    <n v="1"/>
    <n v="145.47999999999999"/>
    <n v="1454.8"/>
    <n v="3526.0999999999995"/>
  </r>
  <r>
    <x v="0"/>
    <x v="4"/>
    <x v="1"/>
    <s v="Puzzle"/>
    <n v="15"/>
    <n v="181.01"/>
    <n v="2715.1499999999996"/>
    <x v="1"/>
    <n v="1"/>
    <n v="2"/>
    <n v="46.19"/>
    <n v="692.84999999999991"/>
    <n v="2022.2999999999997"/>
  </r>
  <r>
    <x v="1"/>
    <x v="3"/>
    <x v="3"/>
    <s v="Toaster"/>
    <n v="14"/>
    <n v="276.18"/>
    <n v="3866.52"/>
    <x v="1"/>
    <n v="1"/>
    <n v="3"/>
    <n v="208.85"/>
    <n v="2923.9"/>
    <n v="942.61999999999989"/>
  </r>
  <r>
    <x v="1"/>
    <x v="1"/>
    <x v="0"/>
    <s v="Headphones"/>
    <n v="15"/>
    <n v="335.06"/>
    <n v="5025.8999999999996"/>
    <x v="1"/>
    <n v="1"/>
    <n v="4"/>
    <n v="178.83"/>
    <n v="2682.4500000000003"/>
    <n v="2343.4499999999994"/>
  </r>
  <r>
    <x v="1"/>
    <x v="0"/>
    <x v="0"/>
    <s v="Headphones"/>
    <n v="5"/>
    <n v="148.06"/>
    <n v="740.3"/>
    <x v="1"/>
    <n v="1"/>
    <n v="5"/>
    <n v="178.83"/>
    <n v="894.15000000000009"/>
    <n v="-153.85000000000014"/>
  </r>
  <r>
    <x v="1"/>
    <x v="4"/>
    <x v="3"/>
    <s v="Air Fryer"/>
    <n v="5"/>
    <n v="453.61"/>
    <n v="2268.0500000000002"/>
    <x v="1"/>
    <n v="1"/>
    <n v="6"/>
    <n v="211.9"/>
    <n v="1059.5"/>
    <n v="1208.5500000000002"/>
  </r>
  <r>
    <x v="0"/>
    <x v="2"/>
    <x v="3"/>
    <s v="Blender"/>
    <n v="6"/>
    <n v="387.85"/>
    <n v="2327.1000000000004"/>
    <x v="1"/>
    <n v="1"/>
    <n v="7"/>
    <n v="156.44"/>
    <n v="938.64"/>
    <n v="1388.4600000000005"/>
  </r>
  <r>
    <x v="2"/>
    <x v="4"/>
    <x v="4"/>
    <s v="Paper Shredder"/>
    <n v="7"/>
    <n v="284.83999999999997"/>
    <n v="1993.8799999999999"/>
    <x v="1"/>
    <n v="1"/>
    <n v="1"/>
    <n v="81.02"/>
    <n v="567.14"/>
    <n v="1426.7399999999998"/>
  </r>
  <r>
    <x v="1"/>
    <x v="4"/>
    <x v="1"/>
    <s v="Action Figure"/>
    <n v="10"/>
    <n v="280.74"/>
    <n v="2807.4"/>
    <x v="1"/>
    <n v="1"/>
    <n v="2"/>
    <n v="88.18"/>
    <n v="881.80000000000007"/>
    <n v="1925.6"/>
  </r>
  <r>
    <x v="0"/>
    <x v="0"/>
    <x v="3"/>
    <s v="Coffee Maker"/>
    <n v="15"/>
    <n v="185.33"/>
    <n v="2779.9500000000003"/>
    <x v="1"/>
    <n v="1"/>
    <n v="3"/>
    <n v="230.34"/>
    <n v="3455.1"/>
    <n v="-675.14999999999964"/>
  </r>
  <r>
    <x v="1"/>
    <x v="0"/>
    <x v="3"/>
    <s v="Air Fryer"/>
    <n v="10"/>
    <n v="377.24"/>
    <n v="3772.4"/>
    <x v="1"/>
    <n v="1"/>
    <n v="4"/>
    <n v="211.9"/>
    <n v="2119"/>
    <n v="1653.4"/>
  </r>
  <r>
    <x v="0"/>
    <x v="4"/>
    <x v="4"/>
    <s v="Stapler"/>
    <n v="12"/>
    <n v="463"/>
    <n v="5556"/>
    <x v="1"/>
    <n v="1"/>
    <n v="5"/>
    <n v="64.61"/>
    <n v="775.31999999999994"/>
    <n v="4780.68"/>
  </r>
  <r>
    <x v="0"/>
    <x v="4"/>
    <x v="3"/>
    <s v="Toaster"/>
    <n v="2"/>
    <n v="197.45"/>
    <n v="394.9"/>
    <x v="1"/>
    <n v="1"/>
    <n v="6"/>
    <n v="208.85"/>
    <n v="417.7"/>
    <n v="-22.800000000000011"/>
  </r>
  <r>
    <x v="0"/>
    <x v="4"/>
    <x v="2"/>
    <s v="Sweater"/>
    <n v="5"/>
    <n v="412.06"/>
    <n v="2060.3000000000002"/>
    <x v="1"/>
    <n v="1"/>
    <n v="7"/>
    <n v="84.57"/>
    <n v="422.84999999999997"/>
    <n v="1637.4500000000003"/>
  </r>
  <r>
    <x v="1"/>
    <x v="0"/>
    <x v="2"/>
    <s v="Sweater"/>
    <n v="5"/>
    <n v="433.53"/>
    <n v="2167.6499999999996"/>
    <x v="1"/>
    <n v="1"/>
    <n v="1"/>
    <n v="84.57"/>
    <n v="422.84999999999997"/>
    <n v="1744.7999999999997"/>
  </r>
  <r>
    <x v="2"/>
    <x v="3"/>
    <x v="1"/>
    <s v="Lego Set"/>
    <n v="14"/>
    <n v="272.75"/>
    <n v="3818.5"/>
    <x v="1"/>
    <n v="1"/>
    <n v="2"/>
    <n v="130.07"/>
    <n v="1820.98"/>
    <n v="1997.52"/>
  </r>
  <r>
    <x v="1"/>
    <x v="3"/>
    <x v="2"/>
    <s v="Socks"/>
    <n v="1"/>
    <n v="63.12"/>
    <n v="63.12"/>
    <x v="1"/>
    <n v="1"/>
    <n v="3"/>
    <n v="201.32"/>
    <n v="201.32"/>
    <n v="-138.19999999999999"/>
  </r>
  <r>
    <x v="2"/>
    <x v="3"/>
    <x v="4"/>
    <s v="Paper Shredder"/>
    <n v="2"/>
    <n v="198.75"/>
    <n v="397.5"/>
    <x v="1"/>
    <n v="1"/>
    <n v="4"/>
    <n v="81.02"/>
    <n v="162.04"/>
    <n v="235.46"/>
  </r>
  <r>
    <x v="1"/>
    <x v="3"/>
    <x v="0"/>
    <s v="Monitor"/>
    <n v="9"/>
    <n v="463.53"/>
    <n v="4171.7699999999995"/>
    <x v="1"/>
    <n v="1"/>
    <n v="5"/>
    <n v="145.47999999999999"/>
    <n v="1309.32"/>
    <n v="2862.45"/>
  </r>
  <r>
    <x v="0"/>
    <x v="4"/>
    <x v="3"/>
    <s v="Vacuum"/>
    <n v="11"/>
    <n v="461.18"/>
    <n v="5072.9800000000005"/>
    <x v="1"/>
    <n v="1"/>
    <n v="6"/>
    <n v="26.59"/>
    <n v="292.49"/>
    <n v="4780.4900000000007"/>
  </r>
  <r>
    <x v="1"/>
    <x v="0"/>
    <x v="3"/>
    <s v="Air Fryer"/>
    <n v="11"/>
    <n v="210.11"/>
    <n v="2311.21"/>
    <x v="1"/>
    <n v="1"/>
    <n v="7"/>
    <n v="211.9"/>
    <n v="2330.9"/>
    <n v="-19.690000000000055"/>
  </r>
  <r>
    <x v="0"/>
    <x v="3"/>
    <x v="1"/>
    <s v="Board Game"/>
    <n v="7"/>
    <n v="335.82"/>
    <n v="2350.7399999999998"/>
    <x v="1"/>
    <n v="1"/>
    <n v="1"/>
    <n v="86.6"/>
    <n v="606.19999999999993"/>
    <n v="1744.54"/>
  </r>
  <r>
    <x v="1"/>
    <x v="4"/>
    <x v="1"/>
    <s v="Doll"/>
    <n v="7"/>
    <n v="278.49"/>
    <n v="1949.43"/>
    <x v="1"/>
    <n v="1"/>
    <n v="2"/>
    <n v="32.94"/>
    <n v="230.57999999999998"/>
    <n v="1718.8500000000001"/>
  </r>
  <r>
    <x v="2"/>
    <x v="3"/>
    <x v="2"/>
    <s v="Sweater"/>
    <n v="10"/>
    <n v="330.81"/>
    <n v="3308.1"/>
    <x v="1"/>
    <n v="1"/>
    <n v="3"/>
    <n v="84.57"/>
    <n v="845.69999999999993"/>
    <n v="2462.4"/>
  </r>
  <r>
    <x v="1"/>
    <x v="2"/>
    <x v="2"/>
    <s v="Socks"/>
    <n v="13"/>
    <n v="451.58"/>
    <n v="5870.54"/>
    <x v="1"/>
    <n v="1"/>
    <n v="4"/>
    <n v="201.32"/>
    <n v="2617.16"/>
    <n v="3253.38"/>
  </r>
  <r>
    <x v="2"/>
    <x v="0"/>
    <x v="3"/>
    <s v="Air Fryer"/>
    <n v="11"/>
    <n v="313.44"/>
    <n v="3447.84"/>
    <x v="1"/>
    <n v="1"/>
    <n v="5"/>
    <n v="211.9"/>
    <n v="2330.9"/>
    <n v="1116.94"/>
  </r>
  <r>
    <x v="0"/>
    <x v="3"/>
    <x v="2"/>
    <s v="Jeans"/>
    <n v="1"/>
    <n v="32.64"/>
    <n v="32.64"/>
    <x v="1"/>
    <n v="1"/>
    <n v="6"/>
    <n v="33.22"/>
    <n v="33.22"/>
    <n v="-0.57999999999999829"/>
  </r>
  <r>
    <x v="2"/>
    <x v="0"/>
    <x v="4"/>
    <s v="Desk Lamp"/>
    <n v="10"/>
    <n v="105.27"/>
    <n v="1052.7"/>
    <x v="1"/>
    <n v="2"/>
    <n v="7"/>
    <n v="101.96"/>
    <n v="1019.5999999999999"/>
    <n v="33.100000000000136"/>
  </r>
  <r>
    <x v="0"/>
    <x v="2"/>
    <x v="4"/>
    <s v="Notebook"/>
    <n v="11"/>
    <n v="346.93"/>
    <n v="3816.23"/>
    <x v="1"/>
    <n v="2"/>
    <n v="1"/>
    <n v="149.27000000000001"/>
    <n v="1641.97"/>
    <n v="2174.2600000000002"/>
  </r>
  <r>
    <x v="2"/>
    <x v="2"/>
    <x v="2"/>
    <s v="Jeans"/>
    <n v="9"/>
    <n v="237.63"/>
    <n v="2138.67"/>
    <x v="1"/>
    <n v="2"/>
    <n v="2"/>
    <n v="33.22"/>
    <n v="298.98"/>
    <n v="1839.69"/>
  </r>
  <r>
    <x v="1"/>
    <x v="0"/>
    <x v="4"/>
    <s v="Notebook"/>
    <n v="11"/>
    <n v="270.25"/>
    <n v="2972.75"/>
    <x v="1"/>
    <n v="2"/>
    <n v="3"/>
    <n v="149.27000000000001"/>
    <n v="1641.97"/>
    <n v="1330.78"/>
  </r>
  <r>
    <x v="2"/>
    <x v="3"/>
    <x v="4"/>
    <s v="Paper Shredder"/>
    <n v="15"/>
    <n v="257.33999999999997"/>
    <n v="3860.0999999999995"/>
    <x v="1"/>
    <n v="2"/>
    <n v="4"/>
    <n v="81.02"/>
    <n v="1215.3"/>
    <n v="2644.7999999999993"/>
  </r>
  <r>
    <x v="1"/>
    <x v="4"/>
    <x v="4"/>
    <s v="Desk Lamp"/>
    <n v="13"/>
    <n v="131.15"/>
    <n v="1704.95"/>
    <x v="1"/>
    <n v="2"/>
    <n v="5"/>
    <n v="101.96"/>
    <n v="1325.48"/>
    <n v="379.47"/>
  </r>
  <r>
    <x v="1"/>
    <x v="1"/>
    <x v="4"/>
    <s v="Notebook"/>
    <n v="8"/>
    <n v="47.97"/>
    <n v="383.76"/>
    <x v="1"/>
    <n v="2"/>
    <n v="6"/>
    <n v="149.27000000000001"/>
    <n v="1194.1600000000001"/>
    <n v="-810.40000000000009"/>
  </r>
  <r>
    <x v="2"/>
    <x v="3"/>
    <x v="3"/>
    <s v="Coffee Maker"/>
    <n v="2"/>
    <n v="77.8"/>
    <n v="155.6"/>
    <x v="1"/>
    <n v="2"/>
    <n v="7"/>
    <n v="230.34"/>
    <n v="460.68"/>
    <n v="-305.08000000000004"/>
  </r>
  <r>
    <x v="1"/>
    <x v="4"/>
    <x v="2"/>
    <s v="T-Shirt"/>
    <n v="7"/>
    <n v="172.13"/>
    <n v="1204.9099999999999"/>
    <x v="1"/>
    <n v="2"/>
    <n v="1"/>
    <n v="107.34"/>
    <n v="751.38"/>
    <n v="453.52999999999986"/>
  </r>
  <r>
    <x v="1"/>
    <x v="0"/>
    <x v="2"/>
    <s v="Sweater"/>
    <n v="15"/>
    <n v="387.2"/>
    <n v="5808"/>
    <x v="1"/>
    <n v="2"/>
    <n v="2"/>
    <n v="84.57"/>
    <n v="1268.55"/>
    <n v="4539.45"/>
  </r>
  <r>
    <x v="0"/>
    <x v="1"/>
    <x v="4"/>
    <s v="Desk Lamp"/>
    <n v="6"/>
    <n v="156.32"/>
    <n v="937.92"/>
    <x v="1"/>
    <n v="2"/>
    <n v="3"/>
    <n v="101.96"/>
    <n v="611.76"/>
    <n v="326.15999999999997"/>
  </r>
  <r>
    <x v="0"/>
    <x v="1"/>
    <x v="1"/>
    <s v="Doll"/>
    <n v="8"/>
    <n v="117.52"/>
    <n v="940.16"/>
    <x v="1"/>
    <n v="2"/>
    <n v="4"/>
    <n v="32.94"/>
    <n v="263.52"/>
    <n v="676.64"/>
  </r>
  <r>
    <x v="2"/>
    <x v="0"/>
    <x v="4"/>
    <s v="Pen Set"/>
    <n v="11"/>
    <n v="401.09"/>
    <n v="4411.99"/>
    <x v="1"/>
    <n v="2"/>
    <n v="5"/>
    <n v="133.37"/>
    <n v="1467.0700000000002"/>
    <n v="2944.9199999999996"/>
  </r>
  <r>
    <x v="2"/>
    <x v="2"/>
    <x v="2"/>
    <s v="Socks"/>
    <n v="1"/>
    <n v="454.4"/>
    <n v="454.4"/>
    <x v="1"/>
    <n v="2"/>
    <n v="6"/>
    <n v="201.32"/>
    <n v="201.32"/>
    <n v="253.07999999999998"/>
  </r>
  <r>
    <x v="0"/>
    <x v="0"/>
    <x v="0"/>
    <s v="Monitor"/>
    <n v="14"/>
    <n v="236.23"/>
    <n v="3307.22"/>
    <x v="1"/>
    <n v="2"/>
    <n v="7"/>
    <n v="145.47999999999999"/>
    <n v="2036.7199999999998"/>
    <n v="1270.5"/>
  </r>
  <r>
    <x v="1"/>
    <x v="2"/>
    <x v="3"/>
    <s v="Toaster"/>
    <n v="6"/>
    <n v="175.38"/>
    <n v="1052.28"/>
    <x v="1"/>
    <n v="2"/>
    <n v="1"/>
    <n v="208.85"/>
    <n v="1253.0999999999999"/>
    <n v="-200.81999999999994"/>
  </r>
  <r>
    <x v="1"/>
    <x v="2"/>
    <x v="3"/>
    <s v="Blender"/>
    <n v="1"/>
    <n v="377.02"/>
    <n v="377.02"/>
    <x v="1"/>
    <n v="2"/>
    <n v="2"/>
    <n v="156.44"/>
    <n v="156.44"/>
    <n v="220.57999999999998"/>
  </r>
  <r>
    <x v="0"/>
    <x v="4"/>
    <x v="0"/>
    <s v="Laptop"/>
    <n v="4"/>
    <n v="107.69"/>
    <n v="430.76"/>
    <x v="1"/>
    <n v="2"/>
    <n v="3"/>
    <n v="230.68"/>
    <n v="922.72"/>
    <n v="-491.96000000000004"/>
  </r>
  <r>
    <x v="1"/>
    <x v="4"/>
    <x v="2"/>
    <s v="Jeans"/>
    <n v="11"/>
    <n v="66.05"/>
    <n v="726.55"/>
    <x v="1"/>
    <n v="2"/>
    <n v="4"/>
    <n v="33.22"/>
    <n v="365.41999999999996"/>
    <n v="361.13"/>
  </r>
  <r>
    <x v="2"/>
    <x v="3"/>
    <x v="3"/>
    <s v="Toaster"/>
    <n v="10"/>
    <n v="482.23"/>
    <n v="4822.3"/>
    <x v="1"/>
    <n v="2"/>
    <n v="5"/>
    <n v="208.85"/>
    <n v="2088.5"/>
    <n v="2733.8"/>
  </r>
  <r>
    <x v="2"/>
    <x v="4"/>
    <x v="3"/>
    <s v="Blender"/>
    <n v="1"/>
    <n v="465.15"/>
    <n v="465.15"/>
    <x v="1"/>
    <n v="2"/>
    <n v="6"/>
    <n v="156.44"/>
    <n v="156.44"/>
    <n v="308.70999999999998"/>
  </r>
  <r>
    <x v="0"/>
    <x v="2"/>
    <x v="4"/>
    <s v="Notebook"/>
    <n v="10"/>
    <n v="348.4"/>
    <n v="3484"/>
    <x v="1"/>
    <n v="2"/>
    <n v="7"/>
    <n v="149.27000000000001"/>
    <n v="1492.7"/>
    <n v="1991.3"/>
  </r>
  <r>
    <x v="0"/>
    <x v="0"/>
    <x v="3"/>
    <s v="Air Fryer"/>
    <n v="13"/>
    <n v="492.08"/>
    <n v="6397.04"/>
    <x v="1"/>
    <n v="2"/>
    <n v="1"/>
    <n v="211.9"/>
    <n v="2754.7000000000003"/>
    <n v="3642.3399999999997"/>
  </r>
  <r>
    <x v="2"/>
    <x v="3"/>
    <x v="1"/>
    <s v="Lego Set"/>
    <n v="6"/>
    <n v="43.79"/>
    <n v="262.74"/>
    <x v="1"/>
    <n v="2"/>
    <n v="2"/>
    <n v="130.07"/>
    <n v="780.42"/>
    <n v="-517.67999999999995"/>
  </r>
  <r>
    <x v="0"/>
    <x v="0"/>
    <x v="4"/>
    <s v="Desk Lamp"/>
    <n v="7"/>
    <n v="480.79"/>
    <n v="3365.53"/>
    <x v="1"/>
    <n v="2"/>
    <n v="3"/>
    <n v="101.96"/>
    <n v="713.71999999999991"/>
    <n v="2651.8100000000004"/>
  </r>
  <r>
    <x v="2"/>
    <x v="4"/>
    <x v="4"/>
    <s v="Notebook"/>
    <n v="9"/>
    <n v="483.08"/>
    <n v="4347.72"/>
    <x v="1"/>
    <n v="2"/>
    <n v="4"/>
    <n v="149.27000000000001"/>
    <n v="1343.43"/>
    <n v="3004.29"/>
  </r>
  <r>
    <x v="1"/>
    <x v="1"/>
    <x v="4"/>
    <s v="Desk Lamp"/>
    <n v="14"/>
    <n v="368.2"/>
    <n v="5154.8"/>
    <x v="1"/>
    <n v="2"/>
    <n v="5"/>
    <n v="101.96"/>
    <n v="1427.4399999999998"/>
    <n v="3727.3600000000006"/>
  </r>
  <r>
    <x v="1"/>
    <x v="4"/>
    <x v="0"/>
    <s v="Tablet"/>
    <n v="4"/>
    <n v="377.73"/>
    <n v="1510.92"/>
    <x v="1"/>
    <n v="2"/>
    <n v="6"/>
    <n v="146.06"/>
    <n v="584.24"/>
    <n v="926.68000000000006"/>
  </r>
  <r>
    <x v="1"/>
    <x v="2"/>
    <x v="3"/>
    <s v="Blender"/>
    <n v="14"/>
    <n v="169.26"/>
    <n v="2369.64"/>
    <x v="1"/>
    <n v="3"/>
    <n v="7"/>
    <n v="156.44"/>
    <n v="2190.16"/>
    <n v="179.48000000000002"/>
  </r>
  <r>
    <x v="1"/>
    <x v="3"/>
    <x v="3"/>
    <s v="Coffee Maker"/>
    <n v="15"/>
    <n v="302.12"/>
    <n v="4531.8"/>
    <x v="1"/>
    <n v="3"/>
    <n v="1"/>
    <n v="230.34"/>
    <n v="3455.1"/>
    <n v="1076.7000000000003"/>
  </r>
  <r>
    <x v="0"/>
    <x v="0"/>
    <x v="1"/>
    <s v="Board Game"/>
    <n v="4"/>
    <n v="362.84"/>
    <n v="1451.36"/>
    <x v="1"/>
    <n v="3"/>
    <n v="2"/>
    <n v="86.6"/>
    <n v="346.4"/>
    <n v="1104.96"/>
  </r>
  <r>
    <x v="1"/>
    <x v="4"/>
    <x v="4"/>
    <s v="Desk Lamp"/>
    <n v="13"/>
    <n v="18.45"/>
    <n v="239.85"/>
    <x v="1"/>
    <n v="3"/>
    <n v="3"/>
    <n v="101.96"/>
    <n v="1325.48"/>
    <n v="-1085.6300000000001"/>
  </r>
  <r>
    <x v="2"/>
    <x v="2"/>
    <x v="2"/>
    <s v="Jacket"/>
    <n v="10"/>
    <n v="190.82"/>
    <n v="1908.1999999999998"/>
    <x v="1"/>
    <n v="3"/>
    <n v="4"/>
    <n v="10.11"/>
    <n v="101.1"/>
    <n v="1807.1"/>
  </r>
  <r>
    <x v="1"/>
    <x v="3"/>
    <x v="4"/>
    <s v="Paper Shredder"/>
    <n v="6"/>
    <n v="354.4"/>
    <n v="2126.3999999999996"/>
    <x v="1"/>
    <n v="3"/>
    <n v="5"/>
    <n v="81.02"/>
    <n v="486.12"/>
    <n v="1640.2799999999997"/>
  </r>
  <r>
    <x v="2"/>
    <x v="3"/>
    <x v="2"/>
    <s v="T-Shirt"/>
    <n v="4"/>
    <n v="164.62"/>
    <n v="658.48"/>
    <x v="1"/>
    <n v="3"/>
    <n v="6"/>
    <n v="107.34"/>
    <n v="429.36"/>
    <n v="229.12"/>
  </r>
  <r>
    <x v="2"/>
    <x v="4"/>
    <x v="2"/>
    <s v="Jeans"/>
    <n v="8"/>
    <n v="145.47999999999999"/>
    <n v="1163.8399999999999"/>
    <x v="1"/>
    <n v="3"/>
    <n v="7"/>
    <n v="33.22"/>
    <n v="265.76"/>
    <n v="898.07999999999993"/>
  </r>
  <r>
    <x v="0"/>
    <x v="1"/>
    <x v="3"/>
    <s v="Blender"/>
    <n v="5"/>
    <n v="121.47"/>
    <n v="607.35"/>
    <x v="1"/>
    <n v="3"/>
    <n v="1"/>
    <n v="156.44"/>
    <n v="782.2"/>
    <n v="-174.85000000000002"/>
  </r>
  <r>
    <x v="1"/>
    <x v="0"/>
    <x v="1"/>
    <s v="Board Game"/>
    <n v="1"/>
    <n v="487.4"/>
    <n v="487.4"/>
    <x v="1"/>
    <n v="3"/>
    <n v="2"/>
    <n v="86.6"/>
    <n v="86.6"/>
    <n v="400.79999999999995"/>
  </r>
  <r>
    <x v="0"/>
    <x v="4"/>
    <x v="4"/>
    <s v="Stapler"/>
    <n v="10"/>
    <n v="149.33000000000001"/>
    <n v="1493.3000000000002"/>
    <x v="1"/>
    <n v="3"/>
    <n v="3"/>
    <n v="64.61"/>
    <n v="646.1"/>
    <n v="847.20000000000016"/>
  </r>
  <r>
    <x v="1"/>
    <x v="3"/>
    <x v="2"/>
    <s v="T-Shirt"/>
    <n v="14"/>
    <n v="244.09"/>
    <n v="3417.26"/>
    <x v="1"/>
    <n v="3"/>
    <n v="4"/>
    <n v="107.34"/>
    <n v="1502.76"/>
    <n v="1914.5000000000002"/>
  </r>
  <r>
    <x v="2"/>
    <x v="2"/>
    <x v="0"/>
    <s v="Headphones"/>
    <n v="11"/>
    <n v="36.270000000000003"/>
    <n v="398.97"/>
    <x v="1"/>
    <n v="3"/>
    <n v="5"/>
    <n v="178.83"/>
    <n v="1967.13"/>
    <n v="-1568.16"/>
  </r>
  <r>
    <x v="0"/>
    <x v="3"/>
    <x v="0"/>
    <s v="Smartphone"/>
    <n v="9"/>
    <n v="384.58"/>
    <n v="3461.22"/>
    <x v="1"/>
    <n v="3"/>
    <n v="6"/>
    <n v="216.22"/>
    <n v="1945.98"/>
    <n v="1515.2399999999998"/>
  </r>
  <r>
    <x v="1"/>
    <x v="1"/>
    <x v="2"/>
    <s v="Socks"/>
    <n v="8"/>
    <n v="455.17"/>
    <n v="3641.36"/>
    <x v="1"/>
    <n v="3"/>
    <n v="7"/>
    <n v="201.32"/>
    <n v="1610.56"/>
    <n v="2030.8000000000002"/>
  </r>
  <r>
    <x v="2"/>
    <x v="2"/>
    <x v="3"/>
    <s v="Air Fryer"/>
    <n v="1"/>
    <n v="308.72000000000003"/>
    <n v="308.72000000000003"/>
    <x v="1"/>
    <n v="3"/>
    <n v="1"/>
    <n v="211.9"/>
    <n v="211.9"/>
    <n v="96.820000000000022"/>
  </r>
  <r>
    <x v="2"/>
    <x v="4"/>
    <x v="2"/>
    <s v="Jacket"/>
    <n v="2"/>
    <n v="86.96"/>
    <n v="173.92"/>
    <x v="1"/>
    <n v="3"/>
    <n v="2"/>
    <n v="10.11"/>
    <n v="20.22"/>
    <n v="153.69999999999999"/>
  </r>
  <r>
    <x v="1"/>
    <x v="0"/>
    <x v="2"/>
    <s v="T-Shirt"/>
    <n v="8"/>
    <n v="347.79"/>
    <n v="2782.32"/>
    <x v="1"/>
    <n v="3"/>
    <n v="3"/>
    <n v="107.34"/>
    <n v="858.72"/>
    <n v="1923.6000000000001"/>
  </r>
  <r>
    <x v="2"/>
    <x v="0"/>
    <x v="2"/>
    <s v="Jacket"/>
    <n v="5"/>
    <n v="354.46"/>
    <n v="1772.3"/>
    <x v="1"/>
    <n v="3"/>
    <n v="4"/>
    <n v="10.11"/>
    <n v="50.55"/>
    <n v="1721.75"/>
  </r>
  <r>
    <x v="2"/>
    <x v="4"/>
    <x v="3"/>
    <s v="Air Fryer"/>
    <n v="13"/>
    <n v="467.5"/>
    <n v="6077.5"/>
    <x v="1"/>
    <n v="3"/>
    <n v="5"/>
    <n v="211.9"/>
    <n v="2754.7000000000003"/>
    <n v="3322.7999999999997"/>
  </r>
  <r>
    <x v="1"/>
    <x v="1"/>
    <x v="2"/>
    <s v="Jeans"/>
    <n v="14"/>
    <n v="79.7"/>
    <n v="1115.8"/>
    <x v="1"/>
    <n v="3"/>
    <n v="6"/>
    <n v="33.22"/>
    <n v="465.08"/>
    <n v="650.72"/>
  </r>
  <r>
    <x v="1"/>
    <x v="3"/>
    <x v="1"/>
    <s v="Doll"/>
    <n v="8"/>
    <n v="70.930000000000007"/>
    <n v="567.44000000000005"/>
    <x v="1"/>
    <n v="3"/>
    <n v="7"/>
    <n v="32.94"/>
    <n v="263.52"/>
    <n v="303.92000000000007"/>
  </r>
  <r>
    <x v="1"/>
    <x v="2"/>
    <x v="3"/>
    <s v="Air Fryer"/>
    <n v="8"/>
    <n v="224.5"/>
    <n v="1796"/>
    <x v="1"/>
    <n v="3"/>
    <n v="1"/>
    <n v="211.9"/>
    <n v="1695.2"/>
    <n v="100.79999999999995"/>
  </r>
  <r>
    <x v="1"/>
    <x v="2"/>
    <x v="3"/>
    <s v="Air Fryer"/>
    <n v="1"/>
    <n v="54.75"/>
    <n v="54.75"/>
    <x v="1"/>
    <n v="3"/>
    <n v="2"/>
    <n v="211.9"/>
    <n v="211.9"/>
    <n v="-157.15"/>
  </r>
  <r>
    <x v="2"/>
    <x v="1"/>
    <x v="0"/>
    <s v="Tablet"/>
    <n v="1"/>
    <n v="383.92"/>
    <n v="383.92"/>
    <x v="1"/>
    <n v="3"/>
    <n v="3"/>
    <n v="146.06"/>
    <n v="146.06"/>
    <n v="237.86"/>
  </r>
  <r>
    <x v="0"/>
    <x v="1"/>
    <x v="4"/>
    <s v="Pen Set"/>
    <n v="10"/>
    <n v="223.58"/>
    <n v="2235.8000000000002"/>
    <x v="1"/>
    <n v="3"/>
    <n v="4"/>
    <n v="133.37"/>
    <n v="1333.7"/>
    <n v="902.10000000000014"/>
  </r>
  <r>
    <x v="1"/>
    <x v="2"/>
    <x v="3"/>
    <s v="Vacuum"/>
    <n v="6"/>
    <n v="338.37"/>
    <n v="2030.22"/>
    <x v="1"/>
    <n v="3"/>
    <n v="5"/>
    <n v="26.59"/>
    <n v="159.54"/>
    <n v="1870.68"/>
  </r>
  <r>
    <x v="2"/>
    <x v="2"/>
    <x v="4"/>
    <s v="Pen Set"/>
    <n v="7"/>
    <n v="408.65"/>
    <n v="2860.5499999999997"/>
    <x v="1"/>
    <n v="3"/>
    <n v="6"/>
    <n v="133.37"/>
    <n v="933.59"/>
    <n v="1926.9599999999996"/>
  </r>
  <r>
    <x v="1"/>
    <x v="2"/>
    <x v="0"/>
    <s v="Tablet"/>
    <n v="6"/>
    <n v="66.8"/>
    <n v="400.79999999999995"/>
    <x v="1"/>
    <n v="3"/>
    <n v="7"/>
    <n v="146.06"/>
    <n v="876.36"/>
    <n v="-475.56000000000006"/>
  </r>
  <r>
    <x v="1"/>
    <x v="1"/>
    <x v="0"/>
    <s v="Headphones"/>
    <n v="7"/>
    <n v="36.56"/>
    <n v="255.92000000000002"/>
    <x v="1"/>
    <n v="3"/>
    <n v="1"/>
    <n v="178.83"/>
    <n v="1251.8100000000002"/>
    <n v="-995.8900000000001"/>
  </r>
  <r>
    <x v="0"/>
    <x v="1"/>
    <x v="4"/>
    <s v="Desk Lamp"/>
    <n v="4"/>
    <n v="140.86000000000001"/>
    <n v="563.44000000000005"/>
    <x v="1"/>
    <n v="3"/>
    <n v="2"/>
    <n v="101.96"/>
    <n v="407.84"/>
    <n v="155.60000000000008"/>
  </r>
  <r>
    <x v="0"/>
    <x v="2"/>
    <x v="4"/>
    <s v="Stapler"/>
    <n v="11"/>
    <n v="308.35000000000002"/>
    <n v="3391.8500000000004"/>
    <x v="1"/>
    <n v="4"/>
    <n v="3"/>
    <n v="64.61"/>
    <n v="710.71"/>
    <n v="2681.1400000000003"/>
  </r>
  <r>
    <x v="0"/>
    <x v="4"/>
    <x v="3"/>
    <s v="Air Fryer"/>
    <n v="9"/>
    <n v="209.92"/>
    <n v="1889.28"/>
    <x v="1"/>
    <n v="4"/>
    <n v="4"/>
    <n v="211.9"/>
    <n v="1907.1000000000001"/>
    <n v="-17.820000000000164"/>
  </r>
  <r>
    <x v="1"/>
    <x v="2"/>
    <x v="0"/>
    <s v="Smartphone"/>
    <n v="15"/>
    <n v="361.14"/>
    <n v="5417.0999999999995"/>
    <x v="1"/>
    <n v="4"/>
    <n v="5"/>
    <n v="216.22"/>
    <n v="3243.3"/>
    <n v="2173.7999999999993"/>
  </r>
  <r>
    <x v="1"/>
    <x v="3"/>
    <x v="4"/>
    <s v="Desk Lamp"/>
    <n v="4"/>
    <n v="233.83"/>
    <n v="935.32"/>
    <x v="1"/>
    <n v="4"/>
    <n v="6"/>
    <n v="101.96"/>
    <n v="407.84"/>
    <n v="527.48"/>
  </r>
  <r>
    <x v="2"/>
    <x v="4"/>
    <x v="1"/>
    <s v="Doll"/>
    <n v="15"/>
    <n v="76.89"/>
    <n v="1153.3499999999999"/>
    <x v="1"/>
    <n v="4"/>
    <n v="7"/>
    <n v="32.94"/>
    <n v="494.09999999999997"/>
    <n v="659.25"/>
  </r>
  <r>
    <x v="1"/>
    <x v="2"/>
    <x v="3"/>
    <s v="Air Fryer"/>
    <n v="14"/>
    <n v="11.26"/>
    <n v="157.63999999999999"/>
    <x v="1"/>
    <n v="4"/>
    <n v="1"/>
    <n v="211.9"/>
    <n v="2966.6"/>
    <n v="-2808.96"/>
  </r>
  <r>
    <x v="0"/>
    <x v="1"/>
    <x v="1"/>
    <s v="Lego Set"/>
    <n v="8"/>
    <n v="273.89999999999998"/>
    <n v="2191.1999999999998"/>
    <x v="1"/>
    <n v="4"/>
    <n v="2"/>
    <n v="130.07"/>
    <n v="1040.56"/>
    <n v="1150.6399999999999"/>
  </r>
  <r>
    <x v="1"/>
    <x v="1"/>
    <x v="1"/>
    <s v="Lego Set"/>
    <n v="15"/>
    <n v="167.67"/>
    <n v="2515.0499999999997"/>
    <x v="1"/>
    <n v="4"/>
    <n v="3"/>
    <n v="130.07"/>
    <n v="1951.05"/>
    <n v="563.99999999999977"/>
  </r>
  <r>
    <x v="0"/>
    <x v="4"/>
    <x v="1"/>
    <s v="Lego Set"/>
    <n v="14"/>
    <n v="390.02"/>
    <n v="5460.28"/>
    <x v="1"/>
    <n v="4"/>
    <n v="4"/>
    <n v="130.07"/>
    <n v="1820.98"/>
    <n v="3639.2999999999997"/>
  </r>
  <r>
    <x v="2"/>
    <x v="2"/>
    <x v="4"/>
    <s v="Desk Lamp"/>
    <n v="13"/>
    <n v="412.17"/>
    <n v="5358.21"/>
    <x v="1"/>
    <n v="4"/>
    <n v="5"/>
    <n v="101.96"/>
    <n v="1325.48"/>
    <n v="4032.73"/>
  </r>
  <r>
    <x v="2"/>
    <x v="0"/>
    <x v="2"/>
    <s v="Socks"/>
    <n v="6"/>
    <n v="436.15"/>
    <n v="2616.8999999999996"/>
    <x v="1"/>
    <n v="4"/>
    <n v="6"/>
    <n v="201.32"/>
    <n v="1207.92"/>
    <n v="1408.9799999999996"/>
  </r>
  <r>
    <x v="2"/>
    <x v="1"/>
    <x v="4"/>
    <s v="Stapler"/>
    <n v="3"/>
    <n v="210.89"/>
    <n v="632.66999999999996"/>
    <x v="1"/>
    <n v="4"/>
    <n v="7"/>
    <n v="64.61"/>
    <n v="193.82999999999998"/>
    <n v="438.84"/>
  </r>
  <r>
    <x v="1"/>
    <x v="0"/>
    <x v="4"/>
    <s v="Pen Set"/>
    <n v="10"/>
    <n v="349.43"/>
    <n v="3494.3"/>
    <x v="1"/>
    <n v="4"/>
    <n v="1"/>
    <n v="133.37"/>
    <n v="1333.7"/>
    <n v="2160.6000000000004"/>
  </r>
  <r>
    <x v="1"/>
    <x v="3"/>
    <x v="1"/>
    <s v="Lego Set"/>
    <n v="11"/>
    <n v="362.17"/>
    <n v="3983.8700000000003"/>
    <x v="1"/>
    <n v="4"/>
    <n v="2"/>
    <n v="130.07"/>
    <n v="1430.77"/>
    <n v="2553.1000000000004"/>
  </r>
  <r>
    <x v="0"/>
    <x v="1"/>
    <x v="0"/>
    <s v="Headphones"/>
    <n v="4"/>
    <n v="319.27"/>
    <n v="1277.08"/>
    <x v="1"/>
    <n v="4"/>
    <n v="3"/>
    <n v="178.83"/>
    <n v="715.32"/>
    <n v="561.75999999999988"/>
  </r>
  <r>
    <x v="2"/>
    <x v="0"/>
    <x v="4"/>
    <s v="Stapler"/>
    <n v="12"/>
    <n v="437.56"/>
    <n v="5250.72"/>
    <x v="1"/>
    <n v="4"/>
    <n v="4"/>
    <n v="64.61"/>
    <n v="775.31999999999994"/>
    <n v="4475.4000000000005"/>
  </r>
  <r>
    <x v="1"/>
    <x v="3"/>
    <x v="0"/>
    <s v="Laptop"/>
    <n v="13"/>
    <n v="37.5"/>
    <n v="487.5"/>
    <x v="1"/>
    <n v="4"/>
    <n v="5"/>
    <n v="230.68"/>
    <n v="2998.84"/>
    <n v="-2511.34"/>
  </r>
  <r>
    <x v="2"/>
    <x v="2"/>
    <x v="2"/>
    <s v="Jeans"/>
    <n v="7"/>
    <n v="287.3"/>
    <n v="2011.1000000000001"/>
    <x v="1"/>
    <n v="4"/>
    <n v="6"/>
    <n v="33.22"/>
    <n v="232.54"/>
    <n v="1778.5600000000002"/>
  </r>
  <r>
    <x v="2"/>
    <x v="4"/>
    <x v="2"/>
    <s v="T-Shirt"/>
    <n v="14"/>
    <n v="197.45"/>
    <n v="2764.2999999999997"/>
    <x v="1"/>
    <n v="4"/>
    <n v="7"/>
    <n v="107.34"/>
    <n v="1502.76"/>
    <n v="1261.5399999999997"/>
  </r>
  <r>
    <x v="0"/>
    <x v="2"/>
    <x v="1"/>
    <s v="Board Game"/>
    <n v="8"/>
    <n v="322.57"/>
    <n v="2580.56"/>
    <x v="1"/>
    <n v="4"/>
    <n v="1"/>
    <n v="86.6"/>
    <n v="692.8"/>
    <n v="1887.76"/>
  </r>
  <r>
    <x v="2"/>
    <x v="0"/>
    <x v="4"/>
    <s v="Pen Set"/>
    <n v="9"/>
    <n v="87.41"/>
    <n v="786.68999999999994"/>
    <x v="1"/>
    <n v="4"/>
    <n v="2"/>
    <n v="133.37"/>
    <n v="1200.33"/>
    <n v="-413.64"/>
  </r>
  <r>
    <x v="2"/>
    <x v="1"/>
    <x v="3"/>
    <s v="Vacuum"/>
    <n v="5"/>
    <n v="233.85"/>
    <n v="1169.25"/>
    <x v="1"/>
    <n v="4"/>
    <n v="3"/>
    <n v="26.59"/>
    <n v="132.94999999999999"/>
    <n v="1036.3"/>
  </r>
  <r>
    <x v="0"/>
    <x v="2"/>
    <x v="4"/>
    <s v="Stapler"/>
    <n v="7"/>
    <n v="290.24"/>
    <n v="2031.68"/>
    <x v="1"/>
    <n v="4"/>
    <n v="4"/>
    <n v="64.61"/>
    <n v="452.27"/>
    <n v="1579.41"/>
  </r>
  <r>
    <x v="1"/>
    <x v="3"/>
    <x v="0"/>
    <s v="Monitor"/>
    <n v="1"/>
    <n v="287.31"/>
    <n v="287.31"/>
    <x v="1"/>
    <n v="4"/>
    <n v="5"/>
    <n v="145.47999999999999"/>
    <n v="145.47999999999999"/>
    <n v="141.83000000000001"/>
  </r>
  <r>
    <x v="0"/>
    <x v="1"/>
    <x v="4"/>
    <s v="Pen Set"/>
    <n v="10"/>
    <n v="402.95"/>
    <n v="4029.5"/>
    <x v="1"/>
    <n v="4"/>
    <n v="6"/>
    <n v="133.37"/>
    <n v="1333.7"/>
    <n v="2695.8"/>
  </r>
  <r>
    <x v="2"/>
    <x v="4"/>
    <x v="1"/>
    <s v="Puzzle"/>
    <n v="13"/>
    <n v="363.25"/>
    <n v="4722.25"/>
    <x v="1"/>
    <n v="4"/>
    <n v="7"/>
    <n v="46.19"/>
    <n v="600.47"/>
    <n v="4121.78"/>
  </r>
  <r>
    <x v="1"/>
    <x v="4"/>
    <x v="0"/>
    <s v="Laptop"/>
    <n v="13"/>
    <n v="226"/>
    <n v="2938"/>
    <x v="1"/>
    <n v="4"/>
    <n v="1"/>
    <n v="230.68"/>
    <n v="2998.84"/>
    <n v="-60.840000000000146"/>
  </r>
  <r>
    <x v="1"/>
    <x v="4"/>
    <x v="0"/>
    <s v="Tablet"/>
    <n v="12"/>
    <n v="213.6"/>
    <n v="2563.1999999999998"/>
    <x v="1"/>
    <n v="4"/>
    <n v="2"/>
    <n v="146.06"/>
    <n v="1752.72"/>
    <n v="810.47999999999979"/>
  </r>
  <r>
    <x v="2"/>
    <x v="1"/>
    <x v="3"/>
    <s v="Air Fryer"/>
    <n v="15"/>
    <n v="143.54"/>
    <n v="2153.1"/>
    <x v="1"/>
    <n v="4"/>
    <n v="3"/>
    <n v="211.9"/>
    <n v="3178.5"/>
    <n v="-1025.4000000000001"/>
  </r>
  <r>
    <x v="0"/>
    <x v="2"/>
    <x v="3"/>
    <s v="Coffee Maker"/>
    <n v="8"/>
    <n v="481.82"/>
    <n v="3854.56"/>
    <x v="1"/>
    <n v="4"/>
    <n v="4"/>
    <n v="230.34"/>
    <n v="1842.72"/>
    <n v="2011.84"/>
  </r>
  <r>
    <x v="0"/>
    <x v="2"/>
    <x v="1"/>
    <s v="Puzzle"/>
    <n v="13"/>
    <n v="203.34"/>
    <n v="2643.42"/>
    <x v="1"/>
    <n v="5"/>
    <n v="5"/>
    <n v="46.19"/>
    <n v="600.47"/>
    <n v="2042.95"/>
  </r>
  <r>
    <x v="2"/>
    <x v="0"/>
    <x v="4"/>
    <s v="Pen Set"/>
    <n v="12"/>
    <n v="339.45"/>
    <n v="4073.3999999999996"/>
    <x v="1"/>
    <n v="5"/>
    <n v="6"/>
    <n v="133.37"/>
    <n v="1600.44"/>
    <n v="2472.9599999999996"/>
  </r>
  <r>
    <x v="1"/>
    <x v="3"/>
    <x v="0"/>
    <s v="Smartphone"/>
    <n v="1"/>
    <n v="313.58"/>
    <n v="313.58"/>
    <x v="1"/>
    <n v="5"/>
    <n v="7"/>
    <n v="216.22"/>
    <n v="216.22"/>
    <n v="97.359999999999985"/>
  </r>
  <r>
    <x v="2"/>
    <x v="1"/>
    <x v="2"/>
    <s v="T-Shirt"/>
    <n v="14"/>
    <n v="237.49"/>
    <n v="3324.86"/>
    <x v="1"/>
    <n v="5"/>
    <n v="1"/>
    <n v="107.34"/>
    <n v="1502.76"/>
    <n v="1822.1000000000001"/>
  </r>
  <r>
    <x v="0"/>
    <x v="2"/>
    <x v="0"/>
    <s v="Smartphone"/>
    <n v="1"/>
    <n v="159.13999999999999"/>
    <n v="159.13999999999999"/>
    <x v="1"/>
    <n v="5"/>
    <n v="2"/>
    <n v="216.22"/>
    <n v="216.22"/>
    <n v="-57.080000000000013"/>
  </r>
  <r>
    <x v="0"/>
    <x v="0"/>
    <x v="2"/>
    <s v="Socks"/>
    <n v="7"/>
    <n v="232.29"/>
    <n v="1626.03"/>
    <x v="1"/>
    <n v="5"/>
    <n v="3"/>
    <n v="201.32"/>
    <n v="1409.24"/>
    <n v="216.78999999999996"/>
  </r>
  <r>
    <x v="2"/>
    <x v="1"/>
    <x v="4"/>
    <s v="Paper Shredder"/>
    <n v="12"/>
    <n v="85.72"/>
    <n v="1028.6399999999999"/>
    <x v="1"/>
    <n v="5"/>
    <n v="4"/>
    <n v="81.02"/>
    <n v="972.24"/>
    <n v="56.399999999999864"/>
  </r>
  <r>
    <x v="1"/>
    <x v="0"/>
    <x v="4"/>
    <s v="Paper Shredder"/>
    <n v="5"/>
    <n v="26.03"/>
    <n v="130.15"/>
    <x v="1"/>
    <n v="5"/>
    <n v="5"/>
    <n v="81.02"/>
    <n v="405.09999999999997"/>
    <n v="-274.94999999999993"/>
  </r>
  <r>
    <x v="1"/>
    <x v="2"/>
    <x v="4"/>
    <s v="Notebook"/>
    <n v="2"/>
    <n v="490.65"/>
    <n v="981.3"/>
    <x v="1"/>
    <n v="5"/>
    <n v="6"/>
    <n v="149.27000000000001"/>
    <n v="298.54000000000002"/>
    <n v="682.76"/>
  </r>
  <r>
    <x v="1"/>
    <x v="3"/>
    <x v="0"/>
    <s v="Monitor"/>
    <n v="4"/>
    <n v="484.42"/>
    <n v="1937.68"/>
    <x v="1"/>
    <n v="5"/>
    <n v="7"/>
    <n v="145.47999999999999"/>
    <n v="581.91999999999996"/>
    <n v="1355.7600000000002"/>
  </r>
  <r>
    <x v="0"/>
    <x v="4"/>
    <x v="1"/>
    <s v="Action Figure"/>
    <n v="13"/>
    <n v="173.42"/>
    <n v="2254.46"/>
    <x v="1"/>
    <n v="5"/>
    <n v="1"/>
    <n v="88.18"/>
    <n v="1146.3400000000001"/>
    <n v="1108.1199999999999"/>
  </r>
  <r>
    <x v="0"/>
    <x v="4"/>
    <x v="0"/>
    <s v="Headphones"/>
    <n v="10"/>
    <n v="115.82"/>
    <n v="1158.1999999999998"/>
    <x v="1"/>
    <n v="5"/>
    <n v="2"/>
    <n v="178.83"/>
    <n v="1788.3000000000002"/>
    <n v="-630.10000000000036"/>
  </r>
  <r>
    <x v="1"/>
    <x v="4"/>
    <x v="1"/>
    <s v="Action Figure"/>
    <n v="14"/>
    <n v="492.17"/>
    <n v="6890.38"/>
    <x v="1"/>
    <n v="5"/>
    <n v="3"/>
    <n v="88.18"/>
    <n v="1234.52"/>
    <n v="5655.8600000000006"/>
  </r>
  <r>
    <x v="2"/>
    <x v="3"/>
    <x v="2"/>
    <s v="T-Shirt"/>
    <n v="14"/>
    <n v="22.63"/>
    <n v="316.82"/>
    <x v="1"/>
    <n v="5"/>
    <n v="4"/>
    <n v="107.34"/>
    <n v="1502.76"/>
    <n v="-1185.94"/>
  </r>
  <r>
    <x v="0"/>
    <x v="4"/>
    <x v="1"/>
    <s v="Puzzle"/>
    <n v="3"/>
    <n v="140.03"/>
    <n v="420.09000000000003"/>
    <x v="1"/>
    <n v="5"/>
    <n v="5"/>
    <n v="46.19"/>
    <n v="138.57"/>
    <n v="281.52000000000004"/>
  </r>
  <r>
    <x v="0"/>
    <x v="1"/>
    <x v="0"/>
    <s v="Laptop"/>
    <n v="8"/>
    <n v="391.23"/>
    <n v="3129.84"/>
    <x v="1"/>
    <n v="5"/>
    <n v="6"/>
    <n v="230.68"/>
    <n v="1845.44"/>
    <n v="1284.4000000000001"/>
  </r>
  <r>
    <x v="0"/>
    <x v="0"/>
    <x v="4"/>
    <s v="Paper Shredder"/>
    <n v="10"/>
    <n v="31.25"/>
    <n v="312.5"/>
    <x v="1"/>
    <n v="5"/>
    <n v="7"/>
    <n v="81.02"/>
    <n v="810.19999999999993"/>
    <n v="-497.69999999999993"/>
  </r>
  <r>
    <x v="0"/>
    <x v="1"/>
    <x v="3"/>
    <s v="Vacuum"/>
    <n v="1"/>
    <n v="39.799999999999997"/>
    <n v="39.799999999999997"/>
    <x v="1"/>
    <n v="5"/>
    <n v="1"/>
    <n v="26.59"/>
    <n v="26.59"/>
    <n v="13.209999999999997"/>
  </r>
  <r>
    <x v="2"/>
    <x v="2"/>
    <x v="0"/>
    <s v="Monitor"/>
    <n v="15"/>
    <n v="227.35"/>
    <n v="3410.25"/>
    <x v="1"/>
    <n v="5"/>
    <n v="2"/>
    <n v="145.47999999999999"/>
    <n v="2182.1999999999998"/>
    <n v="1228.0500000000002"/>
  </r>
  <r>
    <x v="0"/>
    <x v="1"/>
    <x v="2"/>
    <s v="T-Shirt"/>
    <n v="5"/>
    <n v="315.92"/>
    <n v="1579.6000000000001"/>
    <x v="1"/>
    <n v="5"/>
    <n v="3"/>
    <n v="107.34"/>
    <n v="536.70000000000005"/>
    <n v="1042.9000000000001"/>
  </r>
  <r>
    <x v="2"/>
    <x v="3"/>
    <x v="4"/>
    <s v="Paper Shredder"/>
    <n v="5"/>
    <n v="232.32"/>
    <n v="1161.5999999999999"/>
    <x v="1"/>
    <n v="5"/>
    <n v="4"/>
    <n v="81.02"/>
    <n v="405.09999999999997"/>
    <n v="756.5"/>
  </r>
  <r>
    <x v="2"/>
    <x v="0"/>
    <x v="0"/>
    <s v="Headphones"/>
    <n v="14"/>
    <n v="115.36"/>
    <n v="1615.04"/>
    <x v="1"/>
    <n v="5"/>
    <n v="5"/>
    <n v="178.83"/>
    <n v="2503.6200000000003"/>
    <n v="-888.58000000000038"/>
  </r>
  <r>
    <x v="1"/>
    <x v="2"/>
    <x v="3"/>
    <s v="Vacuum"/>
    <n v="7"/>
    <n v="367.51"/>
    <n v="2572.5699999999997"/>
    <x v="1"/>
    <n v="5"/>
    <n v="6"/>
    <n v="26.59"/>
    <n v="186.13"/>
    <n v="2386.4399999999996"/>
  </r>
  <r>
    <x v="0"/>
    <x v="3"/>
    <x v="3"/>
    <s v="Coffee Maker"/>
    <n v="11"/>
    <n v="462.26"/>
    <n v="5084.8599999999997"/>
    <x v="1"/>
    <n v="5"/>
    <n v="7"/>
    <n v="230.34"/>
    <n v="2533.7400000000002"/>
    <n v="2551.1199999999994"/>
  </r>
  <r>
    <x v="0"/>
    <x v="0"/>
    <x v="0"/>
    <s v="Monitor"/>
    <n v="12"/>
    <n v="372.01"/>
    <n v="4464.12"/>
    <x v="1"/>
    <n v="5"/>
    <n v="1"/>
    <n v="145.47999999999999"/>
    <n v="1745.7599999999998"/>
    <n v="2718.36"/>
  </r>
  <r>
    <x v="2"/>
    <x v="0"/>
    <x v="1"/>
    <s v="Doll"/>
    <n v="6"/>
    <n v="338.31"/>
    <n v="2029.8600000000001"/>
    <x v="1"/>
    <n v="5"/>
    <n v="2"/>
    <n v="32.94"/>
    <n v="197.64"/>
    <n v="1832.2200000000003"/>
  </r>
  <r>
    <x v="2"/>
    <x v="2"/>
    <x v="0"/>
    <s v="Tablet"/>
    <n v="5"/>
    <n v="182.31"/>
    <n v="911.55"/>
    <x v="1"/>
    <n v="5"/>
    <n v="3"/>
    <n v="146.06"/>
    <n v="730.3"/>
    <n v="181.25"/>
  </r>
  <r>
    <x v="0"/>
    <x v="4"/>
    <x v="2"/>
    <s v="Sweater"/>
    <n v="14"/>
    <n v="63.03"/>
    <n v="882.42000000000007"/>
    <x v="1"/>
    <n v="5"/>
    <n v="4"/>
    <n v="84.57"/>
    <n v="1183.98"/>
    <n v="-301.55999999999995"/>
  </r>
  <r>
    <x v="0"/>
    <x v="0"/>
    <x v="3"/>
    <s v="Air Fryer"/>
    <n v="13"/>
    <n v="220.27"/>
    <n v="2863.51"/>
    <x v="1"/>
    <n v="5"/>
    <n v="5"/>
    <n v="211.9"/>
    <n v="2754.7000000000003"/>
    <n v="108.80999999999995"/>
  </r>
  <r>
    <x v="2"/>
    <x v="1"/>
    <x v="1"/>
    <s v="Action Figure"/>
    <n v="15"/>
    <n v="332.34"/>
    <n v="4985.0999999999995"/>
    <x v="1"/>
    <n v="5"/>
    <n v="6"/>
    <n v="88.18"/>
    <n v="1322.7"/>
    <n v="3662.3999999999996"/>
  </r>
  <r>
    <x v="2"/>
    <x v="0"/>
    <x v="2"/>
    <s v="Jacket"/>
    <n v="13"/>
    <n v="161.4"/>
    <n v="2098.2000000000003"/>
    <x v="1"/>
    <n v="5"/>
    <n v="7"/>
    <n v="10.11"/>
    <n v="131.43"/>
    <n v="1966.7700000000002"/>
  </r>
  <r>
    <x v="2"/>
    <x v="0"/>
    <x v="2"/>
    <s v="Jeans"/>
    <n v="11"/>
    <n v="206.38"/>
    <n v="2270.1799999999998"/>
    <x v="1"/>
    <n v="6"/>
    <n v="1"/>
    <n v="33.22"/>
    <n v="365.41999999999996"/>
    <n v="1904.7599999999998"/>
  </r>
  <r>
    <x v="0"/>
    <x v="0"/>
    <x v="0"/>
    <s v="Headphones"/>
    <n v="7"/>
    <n v="215.72"/>
    <n v="1510.04"/>
    <x v="1"/>
    <n v="6"/>
    <n v="2"/>
    <n v="178.83"/>
    <n v="1251.8100000000002"/>
    <n v="258.22999999999979"/>
  </r>
  <r>
    <x v="2"/>
    <x v="3"/>
    <x v="3"/>
    <s v="Coffee Maker"/>
    <n v="10"/>
    <n v="51.63"/>
    <n v="516.30000000000007"/>
    <x v="1"/>
    <n v="6"/>
    <n v="3"/>
    <n v="230.34"/>
    <n v="2303.4"/>
    <n v="-1787.1"/>
  </r>
  <r>
    <x v="2"/>
    <x v="4"/>
    <x v="1"/>
    <s v="Action Figure"/>
    <n v="2"/>
    <n v="143.33000000000001"/>
    <n v="286.66000000000003"/>
    <x v="1"/>
    <n v="6"/>
    <n v="4"/>
    <n v="88.18"/>
    <n v="176.36"/>
    <n v="110.30000000000001"/>
  </r>
  <r>
    <x v="1"/>
    <x v="2"/>
    <x v="1"/>
    <s v="Lego Set"/>
    <n v="5"/>
    <n v="115.63"/>
    <n v="578.15"/>
    <x v="1"/>
    <n v="6"/>
    <n v="5"/>
    <n v="130.07"/>
    <n v="650.34999999999991"/>
    <n v="-72.199999999999932"/>
  </r>
  <r>
    <x v="1"/>
    <x v="3"/>
    <x v="4"/>
    <s v="Stapler"/>
    <n v="11"/>
    <n v="342.46"/>
    <n v="3767.06"/>
    <x v="1"/>
    <n v="6"/>
    <n v="6"/>
    <n v="64.61"/>
    <n v="710.71"/>
    <n v="3056.35"/>
  </r>
  <r>
    <x v="1"/>
    <x v="3"/>
    <x v="0"/>
    <s v="Smartphone"/>
    <n v="10"/>
    <n v="36.840000000000003"/>
    <n v="368.40000000000003"/>
    <x v="1"/>
    <n v="6"/>
    <n v="7"/>
    <n v="216.22"/>
    <n v="2162.1999999999998"/>
    <n v="-1793.7999999999997"/>
  </r>
  <r>
    <x v="1"/>
    <x v="4"/>
    <x v="2"/>
    <s v="Jacket"/>
    <n v="6"/>
    <n v="68.790000000000006"/>
    <n v="412.74"/>
    <x v="1"/>
    <n v="6"/>
    <n v="1"/>
    <n v="10.11"/>
    <n v="60.66"/>
    <n v="352.08000000000004"/>
  </r>
  <r>
    <x v="1"/>
    <x v="4"/>
    <x v="2"/>
    <s v="Sweater"/>
    <n v="12"/>
    <n v="122.75"/>
    <n v="1473"/>
    <x v="1"/>
    <n v="6"/>
    <n v="2"/>
    <n v="84.57"/>
    <n v="1014.8399999999999"/>
    <n v="458.16000000000008"/>
  </r>
  <r>
    <x v="2"/>
    <x v="3"/>
    <x v="0"/>
    <s v="Monitor"/>
    <n v="1"/>
    <n v="223.75"/>
    <n v="223.75"/>
    <x v="1"/>
    <n v="6"/>
    <n v="3"/>
    <n v="145.47999999999999"/>
    <n v="145.47999999999999"/>
    <n v="78.27000000000001"/>
  </r>
  <r>
    <x v="0"/>
    <x v="0"/>
    <x v="0"/>
    <s v="Tablet"/>
    <n v="4"/>
    <n v="78.37"/>
    <n v="313.48"/>
    <x v="1"/>
    <n v="6"/>
    <n v="4"/>
    <n v="146.06"/>
    <n v="584.24"/>
    <n v="-270.76"/>
  </r>
  <r>
    <x v="1"/>
    <x v="1"/>
    <x v="0"/>
    <s v="Headphones"/>
    <n v="1"/>
    <n v="24.6"/>
    <n v="24.6"/>
    <x v="1"/>
    <n v="6"/>
    <n v="5"/>
    <n v="178.83"/>
    <n v="178.83"/>
    <n v="-154.23000000000002"/>
  </r>
  <r>
    <x v="2"/>
    <x v="1"/>
    <x v="1"/>
    <s v="Action Figure"/>
    <n v="4"/>
    <n v="360.85"/>
    <n v="1443.4"/>
    <x v="1"/>
    <n v="6"/>
    <n v="6"/>
    <n v="88.18"/>
    <n v="352.72"/>
    <n v="1090.68"/>
  </r>
  <r>
    <x v="2"/>
    <x v="2"/>
    <x v="2"/>
    <s v="Sweater"/>
    <n v="5"/>
    <n v="406.62"/>
    <n v="2033.1"/>
    <x v="1"/>
    <n v="6"/>
    <n v="7"/>
    <n v="84.57"/>
    <n v="422.84999999999997"/>
    <n v="1610.25"/>
  </r>
  <r>
    <x v="0"/>
    <x v="2"/>
    <x v="3"/>
    <s v="Coffee Maker"/>
    <n v="4"/>
    <n v="479.03"/>
    <n v="1916.12"/>
    <x v="1"/>
    <n v="6"/>
    <n v="1"/>
    <n v="230.34"/>
    <n v="921.36"/>
    <n v="994.7599999999998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5">
  <r>
    <s v="ORD-1000"/>
    <d v="2024-11-23T00:00:00"/>
    <s v="CUST-106"/>
    <s v="Consumer"/>
    <s v="North"/>
    <s v="Electronics"/>
    <x v="0"/>
    <n v="4"/>
    <n v="78.37"/>
    <n v="313.48"/>
    <x v="0"/>
    <x v="0"/>
    <n v="7"/>
    <n v="146.06"/>
    <n v="584.24"/>
    <n v="-270.76"/>
  </r>
  <r>
    <s v="ORD-1001"/>
    <d v="2024-11-24T00:00:00"/>
    <s v="CUST-107"/>
    <s v="Corporate"/>
    <s v="Central"/>
    <s v="Electronics"/>
    <x v="1"/>
    <n v="1"/>
    <n v="78.38"/>
    <n v="78.38"/>
    <x v="0"/>
    <x v="0"/>
    <n v="1"/>
    <n v="178.83"/>
    <n v="178.83"/>
    <n v="-100.45000000000002"/>
  </r>
  <r>
    <s v="ORD-1002"/>
    <d v="2024-11-25T00:00:00"/>
    <s v="CUST-108"/>
    <s v="Home Office"/>
    <s v="Central"/>
    <s v="Toys"/>
    <x v="2"/>
    <n v="4"/>
    <n v="360.85"/>
    <n v="1443.4"/>
    <x v="0"/>
    <x v="0"/>
    <n v="2"/>
    <n v="88.18"/>
    <n v="352.72"/>
    <n v="1090.68"/>
  </r>
  <r>
    <s v="ORD-1003"/>
    <d v="2024-11-26T00:00:00"/>
    <s v="CUST-109"/>
    <s v="Home Office"/>
    <s v="West"/>
    <s v="Clothing"/>
    <x v="3"/>
    <n v="5"/>
    <n v="406.62"/>
    <n v="2033.1"/>
    <x v="0"/>
    <x v="0"/>
    <n v="3"/>
    <n v="84.57"/>
    <n v="422.84999999999997"/>
    <n v="1610.25"/>
  </r>
  <r>
    <s v="ORD-1004"/>
    <d v="2024-11-27T00:00:00"/>
    <s v="CUST-110"/>
    <s v="Consumer"/>
    <s v="West"/>
    <s v="Home &amp; Kitchen"/>
    <x v="4"/>
    <n v="4"/>
    <n v="479.03"/>
    <n v="1916.12"/>
    <x v="0"/>
    <x v="0"/>
    <n v="4"/>
    <n v="230.34"/>
    <n v="921.36"/>
    <n v="994.75999999999988"/>
  </r>
  <r>
    <s v="ORD-1005"/>
    <d v="2024-11-28T00:00:00"/>
    <s v="CUST-111"/>
    <s v="Corporate"/>
    <s v="North"/>
    <s v="Office Supplies"/>
    <x v="5"/>
    <n v="14"/>
    <n v="178.54"/>
    <n v="2499.56"/>
    <x v="0"/>
    <x v="0"/>
    <n v="5"/>
    <n v="64.61"/>
    <n v="904.54"/>
    <n v="1595.02"/>
  </r>
  <r>
    <s v="ORD-1006"/>
    <d v="2024-11-29T00:00:00"/>
    <s v="CUST-112"/>
    <s v="Corporate"/>
    <s v="West"/>
    <s v="Toys"/>
    <x v="2"/>
    <n v="2"/>
    <n v="280.5"/>
    <n v="561"/>
    <x v="0"/>
    <x v="0"/>
    <n v="6"/>
    <n v="88.18"/>
    <n v="176.36"/>
    <n v="384.64"/>
  </r>
  <r>
    <s v="ORD-1007"/>
    <d v="2024-11-30T00:00:00"/>
    <s v="CUST-113"/>
    <s v="Home Office"/>
    <s v="East"/>
    <s v="Toys"/>
    <x v="6"/>
    <n v="2"/>
    <n v="32.450000000000003"/>
    <n v="64.900000000000006"/>
    <x v="0"/>
    <x v="0"/>
    <n v="7"/>
    <n v="86.6"/>
    <n v="173.2"/>
    <n v="-108.29999999999998"/>
  </r>
  <r>
    <s v="ORD-1008"/>
    <d v="2024-12-01T00:00:00"/>
    <s v="CUST-114"/>
    <s v="Corporate"/>
    <s v="North"/>
    <s v="Clothing"/>
    <x v="7"/>
    <n v="5"/>
    <n v="232.17"/>
    <n v="1160.8499999999999"/>
    <x v="0"/>
    <x v="1"/>
    <n v="1"/>
    <n v="107.34"/>
    <n v="536.70000000000005"/>
    <n v="624.14999999999986"/>
  </r>
  <r>
    <s v="ORD-1009"/>
    <d v="2024-12-02T00:00:00"/>
    <s v="CUST-115"/>
    <s v="Home Office"/>
    <s v="East"/>
    <s v="Home &amp; Kitchen"/>
    <x v="8"/>
    <n v="5"/>
    <n v="353.89"/>
    <n v="1769.4499999999998"/>
    <x v="0"/>
    <x v="1"/>
    <n v="2"/>
    <n v="208.85"/>
    <n v="1044.25"/>
    <n v="725.19999999999982"/>
  </r>
  <r>
    <s v="ORD-1010"/>
    <d v="2024-12-03T00:00:00"/>
    <s v="CUST-116"/>
    <s v="Home Office"/>
    <s v="North"/>
    <s v="Toys"/>
    <x v="6"/>
    <n v="12"/>
    <n v="129.96"/>
    <n v="1559.52"/>
    <x v="0"/>
    <x v="1"/>
    <n v="3"/>
    <n v="86.6"/>
    <n v="1039.1999999999998"/>
    <n v="520.32000000000016"/>
  </r>
  <r>
    <s v="ORD-1011"/>
    <d v="2024-12-04T00:00:00"/>
    <s v="CUST-117"/>
    <s v="Home Office"/>
    <s v="East"/>
    <s v="Toys"/>
    <x v="6"/>
    <n v="6"/>
    <n v="423"/>
    <n v="2538"/>
    <x v="0"/>
    <x v="1"/>
    <n v="4"/>
    <n v="86.6"/>
    <n v="519.59999999999991"/>
    <n v="2018.4"/>
  </r>
  <r>
    <s v="ORD-1012"/>
    <d v="2024-12-05T00:00:00"/>
    <s v="CUST-118"/>
    <s v="Corporate"/>
    <s v="South"/>
    <s v="Electronics"/>
    <x v="0"/>
    <n v="5"/>
    <n v="42.43"/>
    <n v="212.15"/>
    <x v="0"/>
    <x v="1"/>
    <n v="5"/>
    <n v="146.06"/>
    <n v="730.3"/>
    <n v="-518.15"/>
  </r>
  <r>
    <s v="ORD-1013"/>
    <d v="2024-12-06T00:00:00"/>
    <s v="CUST-119"/>
    <s v="Home Office"/>
    <s v="South"/>
    <s v="Office Supplies"/>
    <x v="9"/>
    <n v="8"/>
    <n v="80.010000000000005"/>
    <n v="640.08000000000004"/>
    <x v="0"/>
    <x v="1"/>
    <n v="6"/>
    <n v="101.96"/>
    <n v="815.68"/>
    <n v="-175.59999999999991"/>
  </r>
  <r>
    <s v="ORD-1014"/>
    <d v="2024-12-07T00:00:00"/>
    <s v="CUST-120"/>
    <s v="Home Office"/>
    <s v="Central"/>
    <s v="Toys"/>
    <x v="10"/>
    <n v="10"/>
    <n v="219.93"/>
    <n v="2199.3000000000002"/>
    <x v="0"/>
    <x v="1"/>
    <n v="7"/>
    <n v="46.19"/>
    <n v="461.9"/>
    <n v="1737.4"/>
  </r>
  <r>
    <s v="ORD-1015"/>
    <d v="2024-12-08T00:00:00"/>
    <s v="CUST-121"/>
    <s v="Home Office"/>
    <s v="East"/>
    <s v="Clothing"/>
    <x v="11"/>
    <n v="8"/>
    <n v="54.55"/>
    <n v="436.4"/>
    <x v="0"/>
    <x v="1"/>
    <n v="1"/>
    <n v="33.22"/>
    <n v="265.76"/>
    <n v="170.64"/>
  </r>
  <r>
    <s v="ORD-1016"/>
    <d v="2024-12-09T00:00:00"/>
    <s v="CUST-122"/>
    <s v="Home Office"/>
    <s v="South"/>
    <s v="Clothing"/>
    <x v="3"/>
    <n v="2"/>
    <n v="198.54"/>
    <n v="397.08"/>
    <x v="0"/>
    <x v="1"/>
    <n v="2"/>
    <n v="84.57"/>
    <n v="169.14"/>
    <n v="227.94"/>
  </r>
  <r>
    <s v="ORD-1017"/>
    <d v="2024-12-10T00:00:00"/>
    <s v="CUST-123"/>
    <s v="Consumer"/>
    <s v="Central"/>
    <s v="Home &amp; Kitchen"/>
    <x v="12"/>
    <n v="11"/>
    <n v="363.15"/>
    <n v="3994.6499999999996"/>
    <x v="0"/>
    <x v="1"/>
    <n v="3"/>
    <n v="211.9"/>
    <n v="2330.9"/>
    <n v="1663.7499999999995"/>
  </r>
  <r>
    <s v="ORD-1018"/>
    <d v="2024-12-11T00:00:00"/>
    <s v="CUST-124"/>
    <s v="Corporate"/>
    <s v="East"/>
    <s v="Home &amp; Kitchen"/>
    <x v="13"/>
    <n v="7"/>
    <n v="87.5"/>
    <n v="612.5"/>
    <x v="0"/>
    <x v="1"/>
    <n v="4"/>
    <n v="156.44"/>
    <n v="1095.08"/>
    <n v="-482.57999999999993"/>
  </r>
  <r>
    <s v="ORD-1019"/>
    <d v="2024-12-12T00:00:00"/>
    <s v="CUST-125"/>
    <s v="Consumer"/>
    <s v="Central"/>
    <s v="Clothing"/>
    <x v="14"/>
    <n v="14"/>
    <n v="316.39999999999998"/>
    <n v="4429.5999999999995"/>
    <x v="0"/>
    <x v="1"/>
    <n v="5"/>
    <n v="201.32"/>
    <n v="2818.48"/>
    <n v="1611.1199999999994"/>
  </r>
  <r>
    <s v="ORD-1020"/>
    <d v="2024-12-13T00:00:00"/>
    <s v="CUST-126"/>
    <s v="Corporate"/>
    <s v="Central"/>
    <s v="Clothing"/>
    <x v="11"/>
    <n v="13"/>
    <n v="89.16"/>
    <n v="1159.08"/>
    <x v="0"/>
    <x v="1"/>
    <n v="6"/>
    <n v="33.22"/>
    <n v="431.86"/>
    <n v="727.21999999999991"/>
  </r>
  <r>
    <s v="ORD-1021"/>
    <d v="2024-12-14T00:00:00"/>
    <s v="CUST-127"/>
    <s v="Corporate"/>
    <s v="North"/>
    <s v="Toys"/>
    <x v="10"/>
    <n v="1"/>
    <n v="64.819999999999993"/>
    <n v="64.819999999999993"/>
    <x v="0"/>
    <x v="1"/>
    <n v="7"/>
    <n v="46.19"/>
    <n v="46.19"/>
    <n v="18.629999999999995"/>
  </r>
  <r>
    <s v="ORD-1022"/>
    <d v="2024-12-15T00:00:00"/>
    <s v="CUST-128"/>
    <s v="Home Office"/>
    <s v="South"/>
    <s v="Electronics"/>
    <x v="15"/>
    <n v="2"/>
    <n v="51.97"/>
    <n v="103.94"/>
    <x v="0"/>
    <x v="1"/>
    <n v="1"/>
    <n v="216.22"/>
    <n v="432.44"/>
    <n v="-328.5"/>
  </r>
  <r>
    <s v="ORD-1023"/>
    <d v="2024-12-16T00:00:00"/>
    <s v="CUST-129"/>
    <s v="Home Office"/>
    <s v="Central"/>
    <s v="Clothing"/>
    <x v="11"/>
    <n v="8"/>
    <n v="473.96"/>
    <n v="3791.68"/>
    <x v="0"/>
    <x v="1"/>
    <n v="2"/>
    <n v="33.22"/>
    <n v="265.76"/>
    <n v="3525.92"/>
  </r>
  <r>
    <s v="ORD-1024"/>
    <d v="2024-12-17T00:00:00"/>
    <s v="CUST-130"/>
    <s v="Consumer"/>
    <s v="Central"/>
    <s v="Toys"/>
    <x v="16"/>
    <n v="15"/>
    <n v="274.26"/>
    <n v="4113.8999999999996"/>
    <x v="0"/>
    <x v="1"/>
    <n v="3"/>
    <n v="130.07"/>
    <n v="1951.05"/>
    <n v="2162.8499999999995"/>
  </r>
  <r>
    <s v="ORD-1025"/>
    <d v="2024-12-18T00:00:00"/>
    <s v="CUST-131"/>
    <s v="Home Office"/>
    <s v="South"/>
    <s v="Home &amp; Kitchen"/>
    <x v="17"/>
    <n v="11"/>
    <n v="192.98"/>
    <n v="2122.7799999999997"/>
    <x v="0"/>
    <x v="1"/>
    <n v="4"/>
    <n v="26.59"/>
    <n v="292.49"/>
    <n v="1830.2899999999997"/>
  </r>
  <r>
    <s v="ORD-1026"/>
    <d v="2024-12-19T00:00:00"/>
    <s v="CUST-132"/>
    <s v="Consumer"/>
    <s v="North"/>
    <s v="Clothing"/>
    <x v="11"/>
    <n v="6"/>
    <n v="20.309999999999999"/>
    <n v="121.85999999999999"/>
    <x v="0"/>
    <x v="1"/>
    <n v="5"/>
    <n v="33.22"/>
    <n v="199.32"/>
    <n v="-77.460000000000008"/>
  </r>
  <r>
    <s v="ORD-1027"/>
    <d v="2024-12-20T00:00:00"/>
    <s v="CUST-133"/>
    <s v="Consumer"/>
    <s v="Central"/>
    <s v="Clothing"/>
    <x v="7"/>
    <n v="12"/>
    <n v="319.24"/>
    <n v="3830.88"/>
    <x v="0"/>
    <x v="1"/>
    <n v="6"/>
    <n v="107.34"/>
    <n v="1288.08"/>
    <n v="2542.8000000000002"/>
  </r>
  <r>
    <s v="ORD-1028"/>
    <d v="2024-12-21T00:00:00"/>
    <s v="CUST-134"/>
    <s v="Home Office"/>
    <s v="North"/>
    <s v="Home &amp; Kitchen"/>
    <x v="13"/>
    <n v="4"/>
    <n v="146.44999999999999"/>
    <n v="585.79999999999995"/>
    <x v="0"/>
    <x v="1"/>
    <n v="7"/>
    <n v="156.44"/>
    <n v="625.76"/>
    <n v="-39.960000000000036"/>
  </r>
  <r>
    <s v="ORD-1029"/>
    <d v="2024-12-22T00:00:00"/>
    <s v="CUST-135"/>
    <s v="Home Office"/>
    <s v="Central"/>
    <s v="Clothing"/>
    <x v="14"/>
    <n v="8"/>
    <n v="129.07"/>
    <n v="1032.56"/>
    <x v="0"/>
    <x v="1"/>
    <n v="1"/>
    <n v="201.32"/>
    <n v="1610.56"/>
    <n v="-578"/>
  </r>
  <r>
    <s v="ORD-1030"/>
    <d v="2024-12-23T00:00:00"/>
    <s v="CUST-136"/>
    <s v="Home Office"/>
    <s v="South"/>
    <s v="Electronics"/>
    <x v="18"/>
    <n v="7"/>
    <n v="183.61"/>
    <n v="1285.27"/>
    <x v="0"/>
    <x v="1"/>
    <n v="2"/>
    <n v="230.68"/>
    <n v="1614.76"/>
    <n v="-329.49"/>
  </r>
  <r>
    <s v="ORD-1031"/>
    <d v="2024-12-24T00:00:00"/>
    <s v="CUST-137"/>
    <s v="Corporate"/>
    <s v="North"/>
    <s v="Electronics"/>
    <x v="18"/>
    <n v="12"/>
    <n v="176.26"/>
    <n v="2115.12"/>
    <x v="0"/>
    <x v="1"/>
    <n v="3"/>
    <n v="230.68"/>
    <n v="2768.16"/>
    <n v="-653.04"/>
  </r>
  <r>
    <s v="ORD-1032"/>
    <d v="2024-12-25T00:00:00"/>
    <s v="CUST-138"/>
    <s v="Corporate"/>
    <s v="South"/>
    <s v="Clothing"/>
    <x v="14"/>
    <n v="3"/>
    <n v="216.72"/>
    <n v="650.16"/>
    <x v="0"/>
    <x v="1"/>
    <n v="4"/>
    <n v="201.32"/>
    <n v="603.96"/>
    <n v="46.199999999999932"/>
  </r>
  <r>
    <s v="ORD-1033"/>
    <d v="2024-12-26T00:00:00"/>
    <s v="CUST-139"/>
    <s v="Home Office"/>
    <s v="South"/>
    <s v="Electronics"/>
    <x v="19"/>
    <n v="2"/>
    <n v="34.79"/>
    <n v="69.58"/>
    <x v="0"/>
    <x v="1"/>
    <n v="5"/>
    <n v="145.47999999999999"/>
    <n v="290.95999999999998"/>
    <n v="-221.38"/>
  </r>
  <r>
    <s v="ORD-1034"/>
    <d v="2024-12-27T00:00:00"/>
    <s v="CUST-140"/>
    <s v="Corporate"/>
    <s v="North"/>
    <s v="Clothing"/>
    <x v="11"/>
    <n v="8"/>
    <n v="245.87"/>
    <n v="1966.96"/>
    <x v="0"/>
    <x v="1"/>
    <n v="6"/>
    <n v="33.22"/>
    <n v="265.76"/>
    <n v="1701.2"/>
  </r>
  <r>
    <s v="ORD-1035"/>
    <d v="2024-12-28T00:00:00"/>
    <s v="CUST-141"/>
    <s v="Corporate"/>
    <s v="South"/>
    <s v="Office Supplies"/>
    <x v="5"/>
    <n v="5"/>
    <n v="463.99"/>
    <n v="2319.9499999999998"/>
    <x v="0"/>
    <x v="1"/>
    <n v="7"/>
    <n v="64.61"/>
    <n v="323.05"/>
    <n v="1996.8999999999999"/>
  </r>
  <r>
    <s v="ORD-1036"/>
    <d v="2024-12-29T00:00:00"/>
    <s v="CUST-142"/>
    <s v="Home Office"/>
    <s v="East"/>
    <s v="Office Supplies"/>
    <x v="20"/>
    <n v="12"/>
    <n v="248.47"/>
    <n v="2981.64"/>
    <x v="0"/>
    <x v="1"/>
    <n v="1"/>
    <n v="81.02"/>
    <n v="972.24"/>
    <n v="2009.3999999999999"/>
  </r>
  <r>
    <s v="ORD-1037"/>
    <d v="2024-12-30T00:00:00"/>
    <s v="CUST-143"/>
    <s v="Home Office"/>
    <s v="South"/>
    <s v="Electronics"/>
    <x v="1"/>
    <n v="9"/>
    <n v="39.869999999999997"/>
    <n v="358.83"/>
    <x v="0"/>
    <x v="1"/>
    <n v="2"/>
    <n v="178.83"/>
    <n v="1609.47"/>
    <n v="-1250.6400000000001"/>
  </r>
  <r>
    <s v="ORD-1038"/>
    <d v="2024-12-31T00:00:00"/>
    <s v="CUST-144"/>
    <s v="Home Office"/>
    <s v="North"/>
    <s v="Toys"/>
    <x v="16"/>
    <n v="15"/>
    <n v="427.83"/>
    <n v="6417.45"/>
    <x v="0"/>
    <x v="1"/>
    <n v="3"/>
    <n v="130.07"/>
    <n v="1951.05"/>
    <n v="4466.3999999999996"/>
  </r>
  <r>
    <s v="ORD-1039"/>
    <d v="2025-01-01T00:00:00"/>
    <s v="CUST-145"/>
    <s v="Consumer"/>
    <s v="Central"/>
    <s v="Electronics"/>
    <x v="15"/>
    <n v="10"/>
    <n v="43.3"/>
    <n v="433"/>
    <x v="1"/>
    <x v="2"/>
    <n v="4"/>
    <n v="216.22"/>
    <n v="2162.1999999999998"/>
    <n v="-1729.1999999999998"/>
  </r>
  <r>
    <s v="ORD-1040"/>
    <d v="2025-01-02T00:00:00"/>
    <s v="CUST-146"/>
    <s v="Home Office"/>
    <s v="North"/>
    <s v="Toys"/>
    <x v="6"/>
    <n v="10"/>
    <n v="29.47"/>
    <n v="294.7"/>
    <x v="1"/>
    <x v="2"/>
    <n v="5"/>
    <n v="86.6"/>
    <n v="866"/>
    <n v="-571.29999999999995"/>
  </r>
  <r>
    <s v="ORD-1041"/>
    <d v="2025-01-03T00:00:00"/>
    <s v="CUST-147"/>
    <s v="Corporate"/>
    <s v="Central"/>
    <s v="Toys"/>
    <x v="21"/>
    <n v="15"/>
    <n v="137.78"/>
    <n v="2066.6999999999998"/>
    <x v="1"/>
    <x v="2"/>
    <n v="6"/>
    <n v="32.94"/>
    <n v="494.09999999999997"/>
    <n v="1572.6"/>
  </r>
  <r>
    <s v="ORD-1042"/>
    <d v="2025-01-04T00:00:00"/>
    <s v="CUST-148"/>
    <s v="Consumer"/>
    <s v="South"/>
    <s v="Home &amp; Kitchen"/>
    <x v="17"/>
    <n v="11"/>
    <n v="326.3"/>
    <n v="3589.3"/>
    <x v="1"/>
    <x v="2"/>
    <n v="7"/>
    <n v="26.59"/>
    <n v="292.49"/>
    <n v="3296.8100000000004"/>
  </r>
  <r>
    <s v="ORD-1043"/>
    <d v="2025-01-05T00:00:00"/>
    <s v="CUST-149"/>
    <s v="Home Office"/>
    <s v="North"/>
    <s v="Electronics"/>
    <x v="19"/>
    <n v="10"/>
    <n v="498.09"/>
    <n v="4980.8999999999996"/>
    <x v="1"/>
    <x v="2"/>
    <n v="1"/>
    <n v="145.47999999999999"/>
    <n v="1454.8"/>
    <n v="3526.0999999999995"/>
  </r>
  <r>
    <s v="ORD-1044"/>
    <d v="2025-01-06T00:00:00"/>
    <s v="CUST-150"/>
    <s v="Consumer"/>
    <s v="South"/>
    <s v="Toys"/>
    <x v="10"/>
    <n v="15"/>
    <n v="181.01"/>
    <n v="2715.1499999999996"/>
    <x v="1"/>
    <x v="2"/>
    <n v="2"/>
    <n v="46.19"/>
    <n v="692.84999999999991"/>
    <n v="2022.2999999999997"/>
  </r>
  <r>
    <s v="ORD-1045"/>
    <d v="2025-01-07T00:00:00"/>
    <s v="CUST-151"/>
    <s v="Corporate"/>
    <s v="East"/>
    <s v="Home &amp; Kitchen"/>
    <x v="8"/>
    <n v="14"/>
    <n v="276.18"/>
    <n v="3866.52"/>
    <x v="1"/>
    <x v="2"/>
    <n v="3"/>
    <n v="208.85"/>
    <n v="2923.9"/>
    <n v="942.61999999999989"/>
  </r>
  <r>
    <s v="ORD-1046"/>
    <d v="2025-01-08T00:00:00"/>
    <s v="CUST-152"/>
    <s v="Corporate"/>
    <s v="Central"/>
    <s v="Electronics"/>
    <x v="1"/>
    <n v="15"/>
    <n v="335.06"/>
    <n v="5025.8999999999996"/>
    <x v="1"/>
    <x v="2"/>
    <n v="4"/>
    <n v="178.83"/>
    <n v="2682.4500000000003"/>
    <n v="2343.4499999999994"/>
  </r>
  <r>
    <s v="ORD-1047"/>
    <d v="2025-01-09T00:00:00"/>
    <s v="CUST-153"/>
    <s v="Corporate"/>
    <s v="North"/>
    <s v="Electronics"/>
    <x v="1"/>
    <n v="5"/>
    <n v="148.06"/>
    <n v="740.3"/>
    <x v="1"/>
    <x v="2"/>
    <n v="5"/>
    <n v="178.83"/>
    <n v="894.15000000000009"/>
    <n v="-153.85000000000014"/>
  </r>
  <r>
    <s v="ORD-1048"/>
    <d v="2025-01-10T00:00:00"/>
    <s v="CUST-154"/>
    <s v="Corporate"/>
    <s v="South"/>
    <s v="Home &amp; Kitchen"/>
    <x v="12"/>
    <n v="5"/>
    <n v="453.61"/>
    <n v="2268.0500000000002"/>
    <x v="1"/>
    <x v="2"/>
    <n v="6"/>
    <n v="211.9"/>
    <n v="1059.5"/>
    <n v="1208.5500000000002"/>
  </r>
  <r>
    <s v="ORD-1049"/>
    <d v="2025-01-11T00:00:00"/>
    <s v="CUST-155"/>
    <s v="Consumer"/>
    <s v="West"/>
    <s v="Home &amp; Kitchen"/>
    <x v="13"/>
    <n v="6"/>
    <n v="387.85"/>
    <n v="2327.1000000000004"/>
    <x v="1"/>
    <x v="2"/>
    <n v="7"/>
    <n v="156.44"/>
    <n v="938.64"/>
    <n v="1388.4600000000005"/>
  </r>
  <r>
    <s v="ORD-1050"/>
    <d v="2025-01-12T00:00:00"/>
    <s v="CUST-156"/>
    <s v="Home Office"/>
    <s v="South"/>
    <s v="Office Supplies"/>
    <x v="20"/>
    <n v="7"/>
    <n v="284.83999999999997"/>
    <n v="1993.8799999999999"/>
    <x v="1"/>
    <x v="2"/>
    <n v="1"/>
    <n v="81.02"/>
    <n v="567.14"/>
    <n v="1426.7399999999998"/>
  </r>
  <r>
    <s v="ORD-1051"/>
    <d v="2025-01-13T00:00:00"/>
    <s v="CUST-157"/>
    <s v="Corporate"/>
    <s v="South"/>
    <s v="Toys"/>
    <x v="2"/>
    <n v="10"/>
    <n v="280.74"/>
    <n v="2807.4"/>
    <x v="1"/>
    <x v="2"/>
    <n v="2"/>
    <n v="88.18"/>
    <n v="881.80000000000007"/>
    <n v="1925.6"/>
  </r>
  <r>
    <s v="ORD-1052"/>
    <d v="2025-01-14T00:00:00"/>
    <s v="CUST-158"/>
    <s v="Consumer"/>
    <s v="North"/>
    <s v="Home &amp; Kitchen"/>
    <x v="4"/>
    <n v="15"/>
    <n v="185.33"/>
    <n v="2779.9500000000003"/>
    <x v="1"/>
    <x v="2"/>
    <n v="3"/>
    <n v="230.34"/>
    <n v="3455.1"/>
    <n v="-675.14999999999964"/>
  </r>
  <r>
    <s v="ORD-1053"/>
    <d v="2025-01-15T00:00:00"/>
    <s v="CUST-159"/>
    <s v="Corporate"/>
    <s v="North"/>
    <s v="Home &amp; Kitchen"/>
    <x v="12"/>
    <n v="10"/>
    <n v="377.24"/>
    <n v="3772.4"/>
    <x v="1"/>
    <x v="2"/>
    <n v="4"/>
    <n v="211.9"/>
    <n v="2119"/>
    <n v="1653.4"/>
  </r>
  <r>
    <s v="ORD-1054"/>
    <d v="2025-01-16T00:00:00"/>
    <s v="CUST-160"/>
    <s v="Consumer"/>
    <s v="South"/>
    <s v="Office Supplies"/>
    <x v="5"/>
    <n v="12"/>
    <n v="463"/>
    <n v="5556"/>
    <x v="1"/>
    <x v="2"/>
    <n v="5"/>
    <n v="64.61"/>
    <n v="775.31999999999994"/>
    <n v="4780.68"/>
  </r>
  <r>
    <s v="ORD-1055"/>
    <d v="2025-01-17T00:00:00"/>
    <s v="CUST-161"/>
    <s v="Consumer"/>
    <s v="South"/>
    <s v="Home &amp; Kitchen"/>
    <x v="8"/>
    <n v="2"/>
    <n v="197.45"/>
    <n v="394.9"/>
    <x v="1"/>
    <x v="2"/>
    <n v="6"/>
    <n v="208.85"/>
    <n v="417.7"/>
    <n v="-22.800000000000011"/>
  </r>
  <r>
    <s v="ORD-1056"/>
    <d v="2025-01-18T00:00:00"/>
    <s v="CUST-162"/>
    <s v="Consumer"/>
    <s v="South"/>
    <s v="Clothing"/>
    <x v="3"/>
    <n v="5"/>
    <n v="412.06"/>
    <n v="2060.3000000000002"/>
    <x v="1"/>
    <x v="2"/>
    <n v="7"/>
    <n v="84.57"/>
    <n v="422.84999999999997"/>
    <n v="1637.4500000000003"/>
  </r>
  <r>
    <s v="ORD-1057"/>
    <d v="2025-01-19T00:00:00"/>
    <s v="CUST-163"/>
    <s v="Corporate"/>
    <s v="North"/>
    <s v="Clothing"/>
    <x v="3"/>
    <n v="5"/>
    <n v="433.53"/>
    <n v="2167.6499999999996"/>
    <x v="1"/>
    <x v="2"/>
    <n v="1"/>
    <n v="84.57"/>
    <n v="422.84999999999997"/>
    <n v="1744.7999999999997"/>
  </r>
  <r>
    <s v="ORD-1058"/>
    <d v="2025-01-20T00:00:00"/>
    <s v="CUST-164"/>
    <s v="Home Office"/>
    <s v="East"/>
    <s v="Toys"/>
    <x v="16"/>
    <n v="14"/>
    <n v="272.75"/>
    <n v="3818.5"/>
    <x v="1"/>
    <x v="2"/>
    <n v="2"/>
    <n v="130.07"/>
    <n v="1820.98"/>
    <n v="1997.52"/>
  </r>
  <r>
    <s v="ORD-1059"/>
    <d v="2025-01-21T00:00:00"/>
    <s v="CUST-165"/>
    <s v="Corporate"/>
    <s v="East"/>
    <s v="Clothing"/>
    <x v="14"/>
    <n v="1"/>
    <n v="63.12"/>
    <n v="63.12"/>
    <x v="1"/>
    <x v="2"/>
    <n v="3"/>
    <n v="201.32"/>
    <n v="201.32"/>
    <n v="-138.19999999999999"/>
  </r>
  <r>
    <s v="ORD-1060"/>
    <d v="2025-01-22T00:00:00"/>
    <s v="CUST-166"/>
    <s v="Home Office"/>
    <s v="East"/>
    <s v="Office Supplies"/>
    <x v="20"/>
    <n v="2"/>
    <n v="198.75"/>
    <n v="397.5"/>
    <x v="1"/>
    <x v="2"/>
    <n v="4"/>
    <n v="81.02"/>
    <n v="162.04"/>
    <n v="235.46"/>
  </r>
  <r>
    <s v="ORD-1061"/>
    <d v="2025-01-23T00:00:00"/>
    <s v="CUST-167"/>
    <s v="Corporate"/>
    <s v="East"/>
    <s v="Electronics"/>
    <x v="19"/>
    <n v="9"/>
    <n v="463.53"/>
    <n v="4171.7699999999995"/>
    <x v="1"/>
    <x v="2"/>
    <n v="5"/>
    <n v="145.47999999999999"/>
    <n v="1309.32"/>
    <n v="2862.45"/>
  </r>
  <r>
    <s v="ORD-1062"/>
    <d v="2025-01-24T00:00:00"/>
    <s v="CUST-168"/>
    <s v="Consumer"/>
    <s v="South"/>
    <s v="Home &amp; Kitchen"/>
    <x v="17"/>
    <n v="11"/>
    <n v="461.18"/>
    <n v="5072.9800000000005"/>
    <x v="1"/>
    <x v="2"/>
    <n v="6"/>
    <n v="26.59"/>
    <n v="292.49"/>
    <n v="4780.4900000000007"/>
  </r>
  <r>
    <s v="ORD-1063"/>
    <d v="2025-01-25T00:00:00"/>
    <s v="CUST-169"/>
    <s v="Corporate"/>
    <s v="North"/>
    <s v="Home &amp; Kitchen"/>
    <x v="12"/>
    <n v="11"/>
    <n v="210.11"/>
    <n v="2311.21"/>
    <x v="1"/>
    <x v="2"/>
    <n v="7"/>
    <n v="211.9"/>
    <n v="2330.9"/>
    <n v="-19.690000000000055"/>
  </r>
  <r>
    <s v="ORD-1064"/>
    <d v="2025-01-26T00:00:00"/>
    <s v="CUST-170"/>
    <s v="Consumer"/>
    <s v="East"/>
    <s v="Toys"/>
    <x v="6"/>
    <n v="7"/>
    <n v="335.82"/>
    <n v="2350.7399999999998"/>
    <x v="1"/>
    <x v="2"/>
    <n v="1"/>
    <n v="86.6"/>
    <n v="606.19999999999993"/>
    <n v="1744.54"/>
  </r>
  <r>
    <s v="ORD-1065"/>
    <d v="2025-01-27T00:00:00"/>
    <s v="CUST-171"/>
    <s v="Corporate"/>
    <s v="South"/>
    <s v="Toys"/>
    <x v="21"/>
    <n v="7"/>
    <n v="278.49"/>
    <n v="1949.43"/>
    <x v="1"/>
    <x v="2"/>
    <n v="2"/>
    <n v="32.94"/>
    <n v="230.57999999999998"/>
    <n v="1718.8500000000001"/>
  </r>
  <r>
    <s v="ORD-1066"/>
    <d v="2025-01-28T00:00:00"/>
    <s v="CUST-172"/>
    <s v="Home Office"/>
    <s v="East"/>
    <s v="Clothing"/>
    <x v="3"/>
    <n v="10"/>
    <n v="330.81"/>
    <n v="3308.1"/>
    <x v="1"/>
    <x v="2"/>
    <n v="3"/>
    <n v="84.57"/>
    <n v="845.69999999999993"/>
    <n v="2462.4"/>
  </r>
  <r>
    <s v="ORD-1067"/>
    <d v="2025-01-29T00:00:00"/>
    <s v="CUST-173"/>
    <s v="Corporate"/>
    <s v="West"/>
    <s v="Clothing"/>
    <x v="14"/>
    <n v="13"/>
    <n v="451.58"/>
    <n v="5870.54"/>
    <x v="1"/>
    <x v="2"/>
    <n v="4"/>
    <n v="201.32"/>
    <n v="2617.16"/>
    <n v="3253.38"/>
  </r>
  <r>
    <s v="ORD-1068"/>
    <d v="2025-01-30T00:00:00"/>
    <s v="CUST-174"/>
    <s v="Home Office"/>
    <s v="North"/>
    <s v="Home &amp; Kitchen"/>
    <x v="12"/>
    <n v="11"/>
    <n v="313.44"/>
    <n v="3447.84"/>
    <x v="1"/>
    <x v="2"/>
    <n v="5"/>
    <n v="211.9"/>
    <n v="2330.9"/>
    <n v="1116.94"/>
  </r>
  <r>
    <s v="ORD-1069"/>
    <d v="2025-01-31T00:00:00"/>
    <s v="CUST-175"/>
    <s v="Consumer"/>
    <s v="East"/>
    <s v="Clothing"/>
    <x v="11"/>
    <n v="1"/>
    <n v="32.64"/>
    <n v="32.64"/>
    <x v="1"/>
    <x v="2"/>
    <n v="6"/>
    <n v="33.22"/>
    <n v="33.22"/>
    <n v="-0.57999999999999829"/>
  </r>
  <r>
    <s v="ORD-1070"/>
    <d v="2025-02-01T00:00:00"/>
    <s v="CUST-176"/>
    <s v="Home Office"/>
    <s v="North"/>
    <s v="Office Supplies"/>
    <x v="9"/>
    <n v="10"/>
    <n v="105.27"/>
    <n v="1052.7"/>
    <x v="1"/>
    <x v="3"/>
    <n v="7"/>
    <n v="101.96"/>
    <n v="1019.5999999999999"/>
    <n v="33.100000000000136"/>
  </r>
  <r>
    <s v="ORD-1071"/>
    <d v="2025-02-02T00:00:00"/>
    <s v="CUST-177"/>
    <s v="Consumer"/>
    <s v="West"/>
    <s v="Office Supplies"/>
    <x v="22"/>
    <n v="11"/>
    <n v="346.93"/>
    <n v="3816.23"/>
    <x v="1"/>
    <x v="3"/>
    <n v="1"/>
    <n v="149.27000000000001"/>
    <n v="1641.97"/>
    <n v="2174.2600000000002"/>
  </r>
  <r>
    <s v="ORD-1072"/>
    <d v="2025-02-03T00:00:00"/>
    <s v="CUST-178"/>
    <s v="Home Office"/>
    <s v="West"/>
    <s v="Clothing"/>
    <x v="11"/>
    <n v="9"/>
    <n v="237.63"/>
    <n v="2138.67"/>
    <x v="1"/>
    <x v="3"/>
    <n v="2"/>
    <n v="33.22"/>
    <n v="298.98"/>
    <n v="1839.69"/>
  </r>
  <r>
    <s v="ORD-1073"/>
    <d v="2025-02-04T00:00:00"/>
    <s v="CUST-179"/>
    <s v="Corporate"/>
    <s v="North"/>
    <s v="Office Supplies"/>
    <x v="22"/>
    <n v="11"/>
    <n v="270.25"/>
    <n v="2972.75"/>
    <x v="1"/>
    <x v="3"/>
    <n v="3"/>
    <n v="149.27000000000001"/>
    <n v="1641.97"/>
    <n v="1330.78"/>
  </r>
  <r>
    <s v="ORD-1074"/>
    <d v="2025-02-05T00:00:00"/>
    <s v="CUST-180"/>
    <s v="Home Office"/>
    <s v="East"/>
    <s v="Office Supplies"/>
    <x v="20"/>
    <n v="15"/>
    <n v="257.33999999999997"/>
    <n v="3860.0999999999995"/>
    <x v="1"/>
    <x v="3"/>
    <n v="4"/>
    <n v="81.02"/>
    <n v="1215.3"/>
    <n v="2644.7999999999993"/>
  </r>
  <r>
    <s v="ORD-1075"/>
    <d v="2025-02-06T00:00:00"/>
    <s v="CUST-181"/>
    <s v="Corporate"/>
    <s v="South"/>
    <s v="Office Supplies"/>
    <x v="9"/>
    <n v="13"/>
    <n v="131.15"/>
    <n v="1704.95"/>
    <x v="1"/>
    <x v="3"/>
    <n v="5"/>
    <n v="101.96"/>
    <n v="1325.48"/>
    <n v="379.47"/>
  </r>
  <r>
    <s v="ORD-1076"/>
    <d v="2025-02-07T00:00:00"/>
    <s v="CUST-182"/>
    <s v="Corporate"/>
    <s v="Central"/>
    <s v="Office Supplies"/>
    <x v="22"/>
    <n v="8"/>
    <n v="47.97"/>
    <n v="383.76"/>
    <x v="1"/>
    <x v="3"/>
    <n v="6"/>
    <n v="149.27000000000001"/>
    <n v="1194.1600000000001"/>
    <n v="-810.40000000000009"/>
  </r>
  <r>
    <s v="ORD-1077"/>
    <d v="2025-02-08T00:00:00"/>
    <s v="CUST-183"/>
    <s v="Home Office"/>
    <s v="East"/>
    <s v="Home &amp; Kitchen"/>
    <x v="4"/>
    <n v="2"/>
    <n v="77.8"/>
    <n v="155.6"/>
    <x v="1"/>
    <x v="3"/>
    <n v="7"/>
    <n v="230.34"/>
    <n v="460.68"/>
    <n v="-305.08000000000004"/>
  </r>
  <r>
    <s v="ORD-1078"/>
    <d v="2025-02-09T00:00:00"/>
    <s v="CUST-184"/>
    <s v="Corporate"/>
    <s v="South"/>
    <s v="Clothing"/>
    <x v="7"/>
    <n v="7"/>
    <n v="172.13"/>
    <n v="1204.9099999999999"/>
    <x v="1"/>
    <x v="3"/>
    <n v="1"/>
    <n v="107.34"/>
    <n v="751.38"/>
    <n v="453.52999999999986"/>
  </r>
  <r>
    <s v="ORD-1079"/>
    <d v="2025-02-10T00:00:00"/>
    <s v="CUST-185"/>
    <s v="Corporate"/>
    <s v="North"/>
    <s v="Clothing"/>
    <x v="3"/>
    <n v="15"/>
    <n v="387.2"/>
    <n v="5808"/>
    <x v="1"/>
    <x v="3"/>
    <n v="2"/>
    <n v="84.57"/>
    <n v="1268.55"/>
    <n v="4539.45"/>
  </r>
  <r>
    <s v="ORD-1080"/>
    <d v="2025-02-11T00:00:00"/>
    <s v="CUST-186"/>
    <s v="Consumer"/>
    <s v="Central"/>
    <s v="Office Supplies"/>
    <x v="9"/>
    <n v="6"/>
    <n v="156.32"/>
    <n v="937.92"/>
    <x v="1"/>
    <x v="3"/>
    <n v="3"/>
    <n v="101.96"/>
    <n v="611.76"/>
    <n v="326.15999999999997"/>
  </r>
  <r>
    <s v="ORD-1081"/>
    <d v="2025-02-12T00:00:00"/>
    <s v="CUST-187"/>
    <s v="Consumer"/>
    <s v="Central"/>
    <s v="Toys"/>
    <x v="21"/>
    <n v="8"/>
    <n v="117.52"/>
    <n v="940.16"/>
    <x v="1"/>
    <x v="3"/>
    <n v="4"/>
    <n v="32.94"/>
    <n v="263.52"/>
    <n v="676.64"/>
  </r>
  <r>
    <s v="ORD-1082"/>
    <d v="2025-02-13T00:00:00"/>
    <s v="CUST-188"/>
    <s v="Home Office"/>
    <s v="North"/>
    <s v="Office Supplies"/>
    <x v="23"/>
    <n v="11"/>
    <n v="401.09"/>
    <n v="4411.99"/>
    <x v="1"/>
    <x v="3"/>
    <n v="5"/>
    <n v="133.37"/>
    <n v="1467.0700000000002"/>
    <n v="2944.9199999999996"/>
  </r>
  <r>
    <s v="ORD-1083"/>
    <d v="2025-02-14T00:00:00"/>
    <s v="CUST-189"/>
    <s v="Home Office"/>
    <s v="West"/>
    <s v="Clothing"/>
    <x v="14"/>
    <n v="1"/>
    <n v="454.4"/>
    <n v="454.4"/>
    <x v="1"/>
    <x v="3"/>
    <n v="6"/>
    <n v="201.32"/>
    <n v="201.32"/>
    <n v="253.07999999999998"/>
  </r>
  <r>
    <s v="ORD-1084"/>
    <d v="2025-02-15T00:00:00"/>
    <s v="CUST-190"/>
    <s v="Consumer"/>
    <s v="North"/>
    <s v="Electronics"/>
    <x v="19"/>
    <n v="14"/>
    <n v="236.23"/>
    <n v="3307.22"/>
    <x v="1"/>
    <x v="3"/>
    <n v="7"/>
    <n v="145.47999999999999"/>
    <n v="2036.7199999999998"/>
    <n v="1270.5"/>
  </r>
  <r>
    <s v="ORD-1085"/>
    <d v="2025-02-16T00:00:00"/>
    <s v="CUST-191"/>
    <s v="Corporate"/>
    <s v="West"/>
    <s v="Home &amp; Kitchen"/>
    <x v="8"/>
    <n v="6"/>
    <n v="175.38"/>
    <n v="1052.28"/>
    <x v="1"/>
    <x v="3"/>
    <n v="1"/>
    <n v="208.85"/>
    <n v="1253.0999999999999"/>
    <n v="-200.81999999999994"/>
  </r>
  <r>
    <s v="ORD-1086"/>
    <d v="2025-02-17T00:00:00"/>
    <s v="CUST-192"/>
    <s v="Corporate"/>
    <s v="West"/>
    <s v="Home &amp; Kitchen"/>
    <x v="13"/>
    <n v="1"/>
    <n v="377.02"/>
    <n v="377.02"/>
    <x v="1"/>
    <x v="3"/>
    <n v="2"/>
    <n v="156.44"/>
    <n v="156.44"/>
    <n v="220.57999999999998"/>
  </r>
  <r>
    <s v="ORD-1087"/>
    <d v="2025-02-18T00:00:00"/>
    <s v="CUST-193"/>
    <s v="Consumer"/>
    <s v="South"/>
    <s v="Electronics"/>
    <x v="18"/>
    <n v="4"/>
    <n v="107.69"/>
    <n v="430.76"/>
    <x v="1"/>
    <x v="3"/>
    <n v="3"/>
    <n v="230.68"/>
    <n v="922.72"/>
    <n v="-491.96000000000004"/>
  </r>
  <r>
    <s v="ORD-1088"/>
    <d v="2025-02-19T00:00:00"/>
    <s v="CUST-194"/>
    <s v="Corporate"/>
    <s v="South"/>
    <s v="Clothing"/>
    <x v="11"/>
    <n v="11"/>
    <n v="66.05"/>
    <n v="726.55"/>
    <x v="1"/>
    <x v="3"/>
    <n v="4"/>
    <n v="33.22"/>
    <n v="365.41999999999996"/>
    <n v="361.13"/>
  </r>
  <r>
    <s v="ORD-1089"/>
    <d v="2025-02-20T00:00:00"/>
    <s v="CUST-195"/>
    <s v="Home Office"/>
    <s v="East"/>
    <s v="Home &amp; Kitchen"/>
    <x v="8"/>
    <n v="10"/>
    <n v="482.23"/>
    <n v="4822.3"/>
    <x v="1"/>
    <x v="3"/>
    <n v="5"/>
    <n v="208.85"/>
    <n v="2088.5"/>
    <n v="2733.8"/>
  </r>
  <r>
    <s v="ORD-1090"/>
    <d v="2025-02-21T00:00:00"/>
    <s v="CUST-196"/>
    <s v="Home Office"/>
    <s v="South"/>
    <s v="Home &amp; Kitchen"/>
    <x v="13"/>
    <n v="1"/>
    <n v="465.15"/>
    <n v="465.15"/>
    <x v="1"/>
    <x v="3"/>
    <n v="6"/>
    <n v="156.44"/>
    <n v="156.44"/>
    <n v="308.70999999999998"/>
  </r>
  <r>
    <s v="ORD-1091"/>
    <d v="2025-02-22T00:00:00"/>
    <s v="CUST-197"/>
    <s v="Consumer"/>
    <s v="West"/>
    <s v="Office Supplies"/>
    <x v="22"/>
    <n v="10"/>
    <n v="348.4"/>
    <n v="3484"/>
    <x v="1"/>
    <x v="3"/>
    <n v="7"/>
    <n v="149.27000000000001"/>
    <n v="1492.7"/>
    <n v="1991.3"/>
  </r>
  <r>
    <s v="ORD-1092"/>
    <d v="2025-02-23T00:00:00"/>
    <s v="CUST-198"/>
    <s v="Consumer"/>
    <s v="North"/>
    <s v="Home &amp; Kitchen"/>
    <x v="12"/>
    <n v="13"/>
    <n v="492.08"/>
    <n v="6397.04"/>
    <x v="1"/>
    <x v="3"/>
    <n v="1"/>
    <n v="211.9"/>
    <n v="2754.7000000000003"/>
    <n v="3642.3399999999997"/>
  </r>
  <r>
    <s v="ORD-1093"/>
    <d v="2025-02-24T00:00:00"/>
    <s v="CUST-199"/>
    <s v="Home Office"/>
    <s v="East"/>
    <s v="Toys"/>
    <x v="16"/>
    <n v="6"/>
    <n v="43.79"/>
    <n v="262.74"/>
    <x v="1"/>
    <x v="3"/>
    <n v="2"/>
    <n v="130.07"/>
    <n v="780.42"/>
    <n v="-517.67999999999995"/>
  </r>
  <r>
    <s v="ORD-1094"/>
    <d v="2025-02-25T00:00:00"/>
    <s v="CUST-200"/>
    <s v="Consumer"/>
    <s v="North"/>
    <s v="Office Supplies"/>
    <x v="9"/>
    <n v="7"/>
    <n v="480.79"/>
    <n v="3365.53"/>
    <x v="1"/>
    <x v="3"/>
    <n v="3"/>
    <n v="101.96"/>
    <n v="713.71999999999991"/>
    <n v="2651.8100000000004"/>
  </r>
  <r>
    <s v="ORD-1095"/>
    <d v="2025-02-26T00:00:00"/>
    <s v="CUST-201"/>
    <s v="Home Office"/>
    <s v="South"/>
    <s v="Office Supplies"/>
    <x v="22"/>
    <n v="9"/>
    <n v="483.08"/>
    <n v="4347.72"/>
    <x v="1"/>
    <x v="3"/>
    <n v="4"/>
    <n v="149.27000000000001"/>
    <n v="1343.43"/>
    <n v="3004.29"/>
  </r>
  <r>
    <s v="ORD-1096"/>
    <d v="2025-02-27T00:00:00"/>
    <s v="CUST-202"/>
    <s v="Corporate"/>
    <s v="Central"/>
    <s v="Office Supplies"/>
    <x v="9"/>
    <n v="14"/>
    <n v="368.2"/>
    <n v="5154.8"/>
    <x v="1"/>
    <x v="3"/>
    <n v="5"/>
    <n v="101.96"/>
    <n v="1427.4399999999998"/>
    <n v="3727.3600000000006"/>
  </r>
  <r>
    <s v="ORD-1097"/>
    <d v="2025-02-28T00:00:00"/>
    <s v="CUST-203"/>
    <s v="Corporate"/>
    <s v="South"/>
    <s v="Electronics"/>
    <x v="0"/>
    <n v="4"/>
    <n v="377.73"/>
    <n v="1510.92"/>
    <x v="1"/>
    <x v="3"/>
    <n v="6"/>
    <n v="146.06"/>
    <n v="584.24"/>
    <n v="926.68000000000006"/>
  </r>
  <r>
    <s v="ORD-1098"/>
    <d v="2025-03-01T00:00:00"/>
    <s v="CUST-204"/>
    <s v="Corporate"/>
    <s v="West"/>
    <s v="Home &amp; Kitchen"/>
    <x v="13"/>
    <n v="14"/>
    <n v="169.26"/>
    <n v="2369.64"/>
    <x v="1"/>
    <x v="4"/>
    <n v="7"/>
    <n v="156.44"/>
    <n v="2190.16"/>
    <n v="179.48000000000002"/>
  </r>
  <r>
    <s v="ORD-1099"/>
    <d v="2025-03-02T00:00:00"/>
    <s v="CUST-205"/>
    <s v="Corporate"/>
    <s v="East"/>
    <s v="Home &amp; Kitchen"/>
    <x v="4"/>
    <n v="15"/>
    <n v="302.12"/>
    <n v="4531.8"/>
    <x v="1"/>
    <x v="4"/>
    <n v="1"/>
    <n v="230.34"/>
    <n v="3455.1"/>
    <n v="1076.7000000000003"/>
  </r>
  <r>
    <s v="ORD-1100"/>
    <d v="2025-03-03T00:00:00"/>
    <s v="CUST-206"/>
    <s v="Consumer"/>
    <s v="North"/>
    <s v="Toys"/>
    <x v="6"/>
    <n v="4"/>
    <n v="362.84"/>
    <n v="1451.36"/>
    <x v="1"/>
    <x v="4"/>
    <n v="2"/>
    <n v="86.6"/>
    <n v="346.4"/>
    <n v="1104.96"/>
  </r>
  <r>
    <s v="ORD-1101"/>
    <d v="2025-03-04T00:00:00"/>
    <s v="CUST-207"/>
    <s v="Corporate"/>
    <s v="South"/>
    <s v="Office Supplies"/>
    <x v="9"/>
    <n v="13"/>
    <n v="18.45"/>
    <n v="239.85"/>
    <x v="1"/>
    <x v="4"/>
    <n v="3"/>
    <n v="101.96"/>
    <n v="1325.48"/>
    <n v="-1085.6300000000001"/>
  </r>
  <r>
    <s v="ORD-1102"/>
    <d v="2025-03-05T00:00:00"/>
    <s v="CUST-208"/>
    <s v="Home Office"/>
    <s v="West"/>
    <s v="Clothing"/>
    <x v="24"/>
    <n v="10"/>
    <n v="190.82"/>
    <n v="1908.1999999999998"/>
    <x v="1"/>
    <x v="4"/>
    <n v="4"/>
    <n v="10.11"/>
    <n v="101.1"/>
    <n v="1807.1"/>
  </r>
  <r>
    <s v="ORD-1103"/>
    <d v="2025-03-06T00:00:00"/>
    <s v="CUST-209"/>
    <s v="Corporate"/>
    <s v="East"/>
    <s v="Office Supplies"/>
    <x v="20"/>
    <n v="6"/>
    <n v="354.4"/>
    <n v="2126.3999999999996"/>
    <x v="1"/>
    <x v="4"/>
    <n v="5"/>
    <n v="81.02"/>
    <n v="486.12"/>
    <n v="1640.2799999999997"/>
  </r>
  <r>
    <s v="ORD-1104"/>
    <d v="2025-03-07T00:00:00"/>
    <s v="CUST-210"/>
    <s v="Home Office"/>
    <s v="East"/>
    <s v="Clothing"/>
    <x v="7"/>
    <n v="4"/>
    <n v="164.62"/>
    <n v="658.48"/>
    <x v="1"/>
    <x v="4"/>
    <n v="6"/>
    <n v="107.34"/>
    <n v="429.36"/>
    <n v="229.12"/>
  </r>
  <r>
    <s v="ORD-1105"/>
    <d v="2025-03-08T00:00:00"/>
    <s v="CUST-211"/>
    <s v="Home Office"/>
    <s v="South"/>
    <s v="Clothing"/>
    <x v="11"/>
    <n v="8"/>
    <n v="145.47999999999999"/>
    <n v="1163.8399999999999"/>
    <x v="1"/>
    <x v="4"/>
    <n v="7"/>
    <n v="33.22"/>
    <n v="265.76"/>
    <n v="898.07999999999993"/>
  </r>
  <r>
    <s v="ORD-1106"/>
    <d v="2025-03-09T00:00:00"/>
    <s v="CUST-212"/>
    <s v="Consumer"/>
    <s v="Central"/>
    <s v="Home &amp; Kitchen"/>
    <x v="13"/>
    <n v="5"/>
    <n v="121.47"/>
    <n v="607.35"/>
    <x v="1"/>
    <x v="4"/>
    <n v="1"/>
    <n v="156.44"/>
    <n v="782.2"/>
    <n v="-174.85000000000002"/>
  </r>
  <r>
    <s v="ORD-1107"/>
    <d v="2025-03-10T00:00:00"/>
    <s v="CUST-213"/>
    <s v="Corporate"/>
    <s v="North"/>
    <s v="Toys"/>
    <x v="6"/>
    <n v="1"/>
    <n v="487.4"/>
    <n v="487.4"/>
    <x v="1"/>
    <x v="4"/>
    <n v="2"/>
    <n v="86.6"/>
    <n v="86.6"/>
    <n v="400.79999999999995"/>
  </r>
  <r>
    <s v="ORD-1108"/>
    <d v="2025-03-11T00:00:00"/>
    <s v="CUST-214"/>
    <s v="Consumer"/>
    <s v="South"/>
    <s v="Office Supplies"/>
    <x v="5"/>
    <n v="10"/>
    <n v="149.33000000000001"/>
    <n v="1493.3000000000002"/>
    <x v="1"/>
    <x v="4"/>
    <n v="3"/>
    <n v="64.61"/>
    <n v="646.1"/>
    <n v="847.20000000000016"/>
  </r>
  <r>
    <s v="ORD-1109"/>
    <d v="2025-03-12T00:00:00"/>
    <s v="CUST-215"/>
    <s v="Corporate"/>
    <s v="East"/>
    <s v="Clothing"/>
    <x v="7"/>
    <n v="14"/>
    <n v="244.09"/>
    <n v="3417.26"/>
    <x v="1"/>
    <x v="4"/>
    <n v="4"/>
    <n v="107.34"/>
    <n v="1502.76"/>
    <n v="1914.5000000000002"/>
  </r>
  <r>
    <s v="ORD-1110"/>
    <d v="2025-03-13T00:00:00"/>
    <s v="CUST-216"/>
    <s v="Home Office"/>
    <s v="West"/>
    <s v="Electronics"/>
    <x v="1"/>
    <n v="11"/>
    <n v="36.270000000000003"/>
    <n v="398.97"/>
    <x v="1"/>
    <x v="4"/>
    <n v="5"/>
    <n v="178.83"/>
    <n v="1967.13"/>
    <n v="-1568.16"/>
  </r>
  <r>
    <s v="ORD-1111"/>
    <d v="2025-03-14T00:00:00"/>
    <s v="CUST-217"/>
    <s v="Consumer"/>
    <s v="East"/>
    <s v="Electronics"/>
    <x v="15"/>
    <n v="9"/>
    <n v="384.58"/>
    <n v="3461.22"/>
    <x v="1"/>
    <x v="4"/>
    <n v="6"/>
    <n v="216.22"/>
    <n v="1945.98"/>
    <n v="1515.2399999999998"/>
  </r>
  <r>
    <s v="ORD-1112"/>
    <d v="2025-03-15T00:00:00"/>
    <s v="CUST-218"/>
    <s v="Corporate"/>
    <s v="Central"/>
    <s v="Clothing"/>
    <x v="14"/>
    <n v="8"/>
    <n v="455.17"/>
    <n v="3641.36"/>
    <x v="1"/>
    <x v="4"/>
    <n v="7"/>
    <n v="201.32"/>
    <n v="1610.56"/>
    <n v="2030.8000000000002"/>
  </r>
  <r>
    <s v="ORD-1113"/>
    <d v="2025-03-16T00:00:00"/>
    <s v="CUST-219"/>
    <s v="Home Office"/>
    <s v="West"/>
    <s v="Home &amp; Kitchen"/>
    <x v="12"/>
    <n v="1"/>
    <n v="308.72000000000003"/>
    <n v="308.72000000000003"/>
    <x v="1"/>
    <x v="4"/>
    <n v="1"/>
    <n v="211.9"/>
    <n v="211.9"/>
    <n v="96.820000000000022"/>
  </r>
  <r>
    <s v="ORD-1114"/>
    <d v="2025-03-17T00:00:00"/>
    <s v="CUST-220"/>
    <s v="Home Office"/>
    <s v="South"/>
    <s v="Clothing"/>
    <x v="24"/>
    <n v="2"/>
    <n v="86.96"/>
    <n v="173.92"/>
    <x v="1"/>
    <x v="4"/>
    <n v="2"/>
    <n v="10.11"/>
    <n v="20.22"/>
    <n v="153.69999999999999"/>
  </r>
  <r>
    <s v="ORD-1115"/>
    <d v="2025-03-18T00:00:00"/>
    <s v="CUST-221"/>
    <s v="Corporate"/>
    <s v="North"/>
    <s v="Clothing"/>
    <x v="7"/>
    <n v="8"/>
    <n v="347.79"/>
    <n v="2782.32"/>
    <x v="1"/>
    <x v="4"/>
    <n v="3"/>
    <n v="107.34"/>
    <n v="858.72"/>
    <n v="1923.6000000000001"/>
  </r>
  <r>
    <s v="ORD-1116"/>
    <d v="2025-03-19T00:00:00"/>
    <s v="CUST-222"/>
    <s v="Home Office"/>
    <s v="North"/>
    <s v="Clothing"/>
    <x v="24"/>
    <n v="5"/>
    <n v="354.46"/>
    <n v="1772.3"/>
    <x v="1"/>
    <x v="4"/>
    <n v="4"/>
    <n v="10.11"/>
    <n v="50.55"/>
    <n v="1721.75"/>
  </r>
  <r>
    <s v="ORD-1117"/>
    <d v="2025-03-20T00:00:00"/>
    <s v="CUST-223"/>
    <s v="Home Office"/>
    <s v="South"/>
    <s v="Home &amp; Kitchen"/>
    <x v="12"/>
    <n v="13"/>
    <n v="467.5"/>
    <n v="6077.5"/>
    <x v="1"/>
    <x v="4"/>
    <n v="5"/>
    <n v="211.9"/>
    <n v="2754.7000000000003"/>
    <n v="3322.7999999999997"/>
  </r>
  <r>
    <s v="ORD-1118"/>
    <d v="2025-03-21T00:00:00"/>
    <s v="CUST-224"/>
    <s v="Corporate"/>
    <s v="Central"/>
    <s v="Clothing"/>
    <x v="11"/>
    <n v="14"/>
    <n v="79.7"/>
    <n v="1115.8"/>
    <x v="1"/>
    <x v="4"/>
    <n v="6"/>
    <n v="33.22"/>
    <n v="465.08"/>
    <n v="650.72"/>
  </r>
  <r>
    <s v="ORD-1119"/>
    <d v="2025-03-22T00:00:00"/>
    <s v="CUST-225"/>
    <s v="Corporate"/>
    <s v="East"/>
    <s v="Toys"/>
    <x v="21"/>
    <n v="8"/>
    <n v="70.930000000000007"/>
    <n v="567.44000000000005"/>
    <x v="1"/>
    <x v="4"/>
    <n v="7"/>
    <n v="32.94"/>
    <n v="263.52"/>
    <n v="303.92000000000007"/>
  </r>
  <r>
    <s v="ORD-1120"/>
    <d v="2025-03-23T00:00:00"/>
    <s v="CUST-226"/>
    <s v="Corporate"/>
    <s v="West"/>
    <s v="Home &amp; Kitchen"/>
    <x v="12"/>
    <n v="8"/>
    <n v="224.5"/>
    <n v="1796"/>
    <x v="1"/>
    <x v="4"/>
    <n v="1"/>
    <n v="211.9"/>
    <n v="1695.2"/>
    <n v="100.79999999999995"/>
  </r>
  <r>
    <s v="ORD-1121"/>
    <d v="2025-03-24T00:00:00"/>
    <s v="CUST-227"/>
    <s v="Corporate"/>
    <s v="West"/>
    <s v="Home &amp; Kitchen"/>
    <x v="12"/>
    <n v="1"/>
    <n v="54.75"/>
    <n v="54.75"/>
    <x v="1"/>
    <x v="4"/>
    <n v="2"/>
    <n v="211.9"/>
    <n v="211.9"/>
    <n v="-157.15"/>
  </r>
  <r>
    <s v="ORD-1122"/>
    <d v="2025-03-25T00:00:00"/>
    <s v="CUST-228"/>
    <s v="Home Office"/>
    <s v="Central"/>
    <s v="Electronics"/>
    <x v="0"/>
    <n v="1"/>
    <n v="383.92"/>
    <n v="383.92"/>
    <x v="1"/>
    <x v="4"/>
    <n v="3"/>
    <n v="146.06"/>
    <n v="146.06"/>
    <n v="237.86"/>
  </r>
  <r>
    <s v="ORD-1123"/>
    <d v="2025-03-26T00:00:00"/>
    <s v="CUST-229"/>
    <s v="Consumer"/>
    <s v="Central"/>
    <s v="Office Supplies"/>
    <x v="23"/>
    <n v="10"/>
    <n v="223.58"/>
    <n v="2235.8000000000002"/>
    <x v="1"/>
    <x v="4"/>
    <n v="4"/>
    <n v="133.37"/>
    <n v="1333.7"/>
    <n v="902.10000000000014"/>
  </r>
  <r>
    <s v="ORD-1124"/>
    <d v="2025-03-27T00:00:00"/>
    <s v="CUST-230"/>
    <s v="Corporate"/>
    <s v="West"/>
    <s v="Home &amp; Kitchen"/>
    <x v="17"/>
    <n v="6"/>
    <n v="338.37"/>
    <n v="2030.22"/>
    <x v="1"/>
    <x v="4"/>
    <n v="5"/>
    <n v="26.59"/>
    <n v="159.54"/>
    <n v="1870.68"/>
  </r>
  <r>
    <s v="ORD-1125"/>
    <d v="2025-03-28T00:00:00"/>
    <s v="CUST-231"/>
    <s v="Home Office"/>
    <s v="West"/>
    <s v="Office Supplies"/>
    <x v="23"/>
    <n v="7"/>
    <n v="408.65"/>
    <n v="2860.5499999999997"/>
    <x v="1"/>
    <x v="4"/>
    <n v="6"/>
    <n v="133.37"/>
    <n v="933.59"/>
    <n v="1926.9599999999996"/>
  </r>
  <r>
    <s v="ORD-1126"/>
    <d v="2025-03-29T00:00:00"/>
    <s v="CUST-232"/>
    <s v="Corporate"/>
    <s v="West"/>
    <s v="Electronics"/>
    <x v="0"/>
    <n v="6"/>
    <n v="66.8"/>
    <n v="400.79999999999995"/>
    <x v="1"/>
    <x v="4"/>
    <n v="7"/>
    <n v="146.06"/>
    <n v="876.36"/>
    <n v="-475.56000000000006"/>
  </r>
  <r>
    <s v="ORD-1127"/>
    <d v="2025-03-30T00:00:00"/>
    <s v="CUST-233"/>
    <s v="Corporate"/>
    <s v="Central"/>
    <s v="Electronics"/>
    <x v="1"/>
    <n v="7"/>
    <n v="36.56"/>
    <n v="255.92000000000002"/>
    <x v="1"/>
    <x v="4"/>
    <n v="1"/>
    <n v="178.83"/>
    <n v="1251.8100000000002"/>
    <n v="-995.8900000000001"/>
  </r>
  <r>
    <s v="ORD-1128"/>
    <d v="2025-03-31T00:00:00"/>
    <s v="CUST-234"/>
    <s v="Consumer"/>
    <s v="Central"/>
    <s v="Office Supplies"/>
    <x v="9"/>
    <n v="4"/>
    <n v="140.86000000000001"/>
    <n v="563.44000000000005"/>
    <x v="1"/>
    <x v="4"/>
    <n v="2"/>
    <n v="101.96"/>
    <n v="407.84"/>
    <n v="155.60000000000008"/>
  </r>
  <r>
    <s v="ORD-1129"/>
    <d v="2025-04-01T00:00:00"/>
    <s v="CUST-235"/>
    <s v="Consumer"/>
    <s v="West"/>
    <s v="Office Supplies"/>
    <x v="5"/>
    <n v="11"/>
    <n v="308.35000000000002"/>
    <n v="3391.8500000000004"/>
    <x v="1"/>
    <x v="5"/>
    <n v="3"/>
    <n v="64.61"/>
    <n v="710.71"/>
    <n v="2681.1400000000003"/>
  </r>
  <r>
    <s v="ORD-1130"/>
    <d v="2025-04-02T00:00:00"/>
    <s v="CUST-236"/>
    <s v="Consumer"/>
    <s v="South"/>
    <s v="Home &amp; Kitchen"/>
    <x v="12"/>
    <n v="9"/>
    <n v="209.92"/>
    <n v="1889.28"/>
    <x v="1"/>
    <x v="5"/>
    <n v="4"/>
    <n v="211.9"/>
    <n v="1907.1000000000001"/>
    <n v="-17.820000000000164"/>
  </r>
  <r>
    <s v="ORD-1131"/>
    <d v="2025-04-03T00:00:00"/>
    <s v="CUST-237"/>
    <s v="Corporate"/>
    <s v="West"/>
    <s v="Electronics"/>
    <x v="15"/>
    <n v="15"/>
    <n v="361.14"/>
    <n v="5417.0999999999995"/>
    <x v="1"/>
    <x v="5"/>
    <n v="5"/>
    <n v="216.22"/>
    <n v="3243.3"/>
    <n v="2173.7999999999993"/>
  </r>
  <r>
    <s v="ORD-1132"/>
    <d v="2025-04-04T00:00:00"/>
    <s v="CUST-238"/>
    <s v="Corporate"/>
    <s v="East"/>
    <s v="Office Supplies"/>
    <x v="9"/>
    <n v="4"/>
    <n v="233.83"/>
    <n v="935.32"/>
    <x v="1"/>
    <x v="5"/>
    <n v="6"/>
    <n v="101.96"/>
    <n v="407.84"/>
    <n v="527.48"/>
  </r>
  <r>
    <s v="ORD-1133"/>
    <d v="2025-04-05T00:00:00"/>
    <s v="CUST-239"/>
    <s v="Home Office"/>
    <s v="South"/>
    <s v="Toys"/>
    <x v="21"/>
    <n v="15"/>
    <n v="76.89"/>
    <n v="1153.3499999999999"/>
    <x v="1"/>
    <x v="5"/>
    <n v="7"/>
    <n v="32.94"/>
    <n v="494.09999999999997"/>
    <n v="659.25"/>
  </r>
  <r>
    <s v="ORD-1134"/>
    <d v="2025-04-06T00:00:00"/>
    <s v="CUST-240"/>
    <s v="Corporate"/>
    <s v="West"/>
    <s v="Home &amp; Kitchen"/>
    <x v="12"/>
    <n v="14"/>
    <n v="11.26"/>
    <n v="157.63999999999999"/>
    <x v="1"/>
    <x v="5"/>
    <n v="1"/>
    <n v="211.9"/>
    <n v="2966.6"/>
    <n v="-2808.96"/>
  </r>
  <r>
    <s v="ORD-1135"/>
    <d v="2025-04-07T00:00:00"/>
    <s v="CUST-241"/>
    <s v="Consumer"/>
    <s v="Central"/>
    <s v="Toys"/>
    <x v="16"/>
    <n v="8"/>
    <n v="273.89999999999998"/>
    <n v="2191.1999999999998"/>
    <x v="1"/>
    <x v="5"/>
    <n v="2"/>
    <n v="130.07"/>
    <n v="1040.56"/>
    <n v="1150.6399999999999"/>
  </r>
  <r>
    <s v="ORD-1136"/>
    <d v="2025-04-08T00:00:00"/>
    <s v="CUST-242"/>
    <s v="Corporate"/>
    <s v="Central"/>
    <s v="Toys"/>
    <x v="16"/>
    <n v="15"/>
    <n v="167.67"/>
    <n v="2515.0499999999997"/>
    <x v="1"/>
    <x v="5"/>
    <n v="3"/>
    <n v="130.07"/>
    <n v="1951.05"/>
    <n v="563.99999999999977"/>
  </r>
  <r>
    <s v="ORD-1137"/>
    <d v="2025-04-09T00:00:00"/>
    <s v="CUST-243"/>
    <s v="Consumer"/>
    <s v="South"/>
    <s v="Toys"/>
    <x v="16"/>
    <n v="14"/>
    <n v="390.02"/>
    <n v="5460.28"/>
    <x v="1"/>
    <x v="5"/>
    <n v="4"/>
    <n v="130.07"/>
    <n v="1820.98"/>
    <n v="3639.2999999999997"/>
  </r>
  <r>
    <s v="ORD-1138"/>
    <d v="2025-04-10T00:00:00"/>
    <s v="CUST-244"/>
    <s v="Home Office"/>
    <s v="West"/>
    <s v="Office Supplies"/>
    <x v="9"/>
    <n v="13"/>
    <n v="412.17"/>
    <n v="5358.21"/>
    <x v="1"/>
    <x v="5"/>
    <n v="5"/>
    <n v="101.96"/>
    <n v="1325.48"/>
    <n v="4032.73"/>
  </r>
  <r>
    <s v="ORD-1139"/>
    <d v="2025-04-11T00:00:00"/>
    <s v="CUST-245"/>
    <s v="Home Office"/>
    <s v="North"/>
    <s v="Clothing"/>
    <x v="14"/>
    <n v="6"/>
    <n v="436.15"/>
    <n v="2616.8999999999996"/>
    <x v="1"/>
    <x v="5"/>
    <n v="6"/>
    <n v="201.32"/>
    <n v="1207.92"/>
    <n v="1408.9799999999996"/>
  </r>
  <r>
    <s v="ORD-1140"/>
    <d v="2025-04-12T00:00:00"/>
    <s v="CUST-246"/>
    <s v="Home Office"/>
    <s v="Central"/>
    <s v="Office Supplies"/>
    <x v="5"/>
    <n v="3"/>
    <n v="210.89"/>
    <n v="632.66999999999996"/>
    <x v="1"/>
    <x v="5"/>
    <n v="7"/>
    <n v="64.61"/>
    <n v="193.82999999999998"/>
    <n v="438.84"/>
  </r>
  <r>
    <s v="ORD-1141"/>
    <d v="2025-04-13T00:00:00"/>
    <s v="CUST-247"/>
    <s v="Corporate"/>
    <s v="North"/>
    <s v="Office Supplies"/>
    <x v="23"/>
    <n v="10"/>
    <n v="349.43"/>
    <n v="3494.3"/>
    <x v="1"/>
    <x v="5"/>
    <n v="1"/>
    <n v="133.37"/>
    <n v="1333.7"/>
    <n v="2160.6000000000004"/>
  </r>
  <r>
    <s v="ORD-1142"/>
    <d v="2025-04-14T00:00:00"/>
    <s v="CUST-248"/>
    <s v="Corporate"/>
    <s v="East"/>
    <s v="Toys"/>
    <x v="16"/>
    <n v="11"/>
    <n v="362.17"/>
    <n v="3983.8700000000003"/>
    <x v="1"/>
    <x v="5"/>
    <n v="2"/>
    <n v="130.07"/>
    <n v="1430.77"/>
    <n v="2553.1000000000004"/>
  </r>
  <r>
    <s v="ORD-1143"/>
    <d v="2025-04-15T00:00:00"/>
    <s v="CUST-249"/>
    <s v="Consumer"/>
    <s v="Central"/>
    <s v="Electronics"/>
    <x v="1"/>
    <n v="4"/>
    <n v="319.27"/>
    <n v="1277.08"/>
    <x v="1"/>
    <x v="5"/>
    <n v="3"/>
    <n v="178.83"/>
    <n v="715.32"/>
    <n v="561.75999999999988"/>
  </r>
  <r>
    <s v="ORD-1144"/>
    <d v="2025-04-16T00:00:00"/>
    <s v="CUST-250"/>
    <s v="Home Office"/>
    <s v="North"/>
    <s v="Office Supplies"/>
    <x v="5"/>
    <n v="12"/>
    <n v="437.56"/>
    <n v="5250.72"/>
    <x v="1"/>
    <x v="5"/>
    <n v="4"/>
    <n v="64.61"/>
    <n v="775.31999999999994"/>
    <n v="4475.4000000000005"/>
  </r>
  <r>
    <s v="ORD-1145"/>
    <d v="2025-04-17T00:00:00"/>
    <s v="CUST-251"/>
    <s v="Corporate"/>
    <s v="East"/>
    <s v="Electronics"/>
    <x v="18"/>
    <n v="13"/>
    <n v="37.5"/>
    <n v="487.5"/>
    <x v="1"/>
    <x v="5"/>
    <n v="5"/>
    <n v="230.68"/>
    <n v="2998.84"/>
    <n v="-2511.34"/>
  </r>
  <r>
    <s v="ORD-1146"/>
    <d v="2025-04-18T00:00:00"/>
    <s v="CUST-252"/>
    <s v="Home Office"/>
    <s v="West"/>
    <s v="Clothing"/>
    <x v="11"/>
    <n v="7"/>
    <n v="287.3"/>
    <n v="2011.1000000000001"/>
    <x v="1"/>
    <x v="5"/>
    <n v="6"/>
    <n v="33.22"/>
    <n v="232.54"/>
    <n v="1778.5600000000002"/>
  </r>
  <r>
    <s v="ORD-1147"/>
    <d v="2025-04-19T00:00:00"/>
    <s v="CUST-253"/>
    <s v="Home Office"/>
    <s v="South"/>
    <s v="Clothing"/>
    <x v="7"/>
    <n v="14"/>
    <n v="197.45"/>
    <n v="2764.2999999999997"/>
    <x v="1"/>
    <x v="5"/>
    <n v="7"/>
    <n v="107.34"/>
    <n v="1502.76"/>
    <n v="1261.5399999999997"/>
  </r>
  <r>
    <s v="ORD-1148"/>
    <d v="2025-04-20T00:00:00"/>
    <s v="CUST-254"/>
    <s v="Consumer"/>
    <s v="West"/>
    <s v="Toys"/>
    <x v="6"/>
    <n v="8"/>
    <n v="322.57"/>
    <n v="2580.56"/>
    <x v="1"/>
    <x v="5"/>
    <n v="1"/>
    <n v="86.6"/>
    <n v="692.8"/>
    <n v="1887.76"/>
  </r>
  <r>
    <s v="ORD-1149"/>
    <d v="2025-04-21T00:00:00"/>
    <s v="CUST-255"/>
    <s v="Home Office"/>
    <s v="North"/>
    <s v="Office Supplies"/>
    <x v="23"/>
    <n v="9"/>
    <n v="87.41"/>
    <n v="786.68999999999994"/>
    <x v="1"/>
    <x v="5"/>
    <n v="2"/>
    <n v="133.37"/>
    <n v="1200.33"/>
    <n v="-413.64"/>
  </r>
  <r>
    <s v="ORD-1150"/>
    <d v="2025-04-22T00:00:00"/>
    <s v="CUST-256"/>
    <s v="Home Office"/>
    <s v="Central"/>
    <s v="Home &amp; Kitchen"/>
    <x v="17"/>
    <n v="5"/>
    <n v="233.85"/>
    <n v="1169.25"/>
    <x v="1"/>
    <x v="5"/>
    <n v="3"/>
    <n v="26.59"/>
    <n v="132.94999999999999"/>
    <n v="1036.3"/>
  </r>
  <r>
    <s v="ORD-1151"/>
    <d v="2025-04-23T00:00:00"/>
    <s v="CUST-257"/>
    <s v="Consumer"/>
    <s v="West"/>
    <s v="Office Supplies"/>
    <x v="5"/>
    <n v="7"/>
    <n v="290.24"/>
    <n v="2031.68"/>
    <x v="1"/>
    <x v="5"/>
    <n v="4"/>
    <n v="64.61"/>
    <n v="452.27"/>
    <n v="1579.41"/>
  </r>
  <r>
    <s v="ORD-1152"/>
    <d v="2025-04-24T00:00:00"/>
    <s v="CUST-258"/>
    <s v="Corporate"/>
    <s v="East"/>
    <s v="Electronics"/>
    <x v="19"/>
    <n v="1"/>
    <n v="287.31"/>
    <n v="287.31"/>
    <x v="1"/>
    <x v="5"/>
    <n v="5"/>
    <n v="145.47999999999999"/>
    <n v="145.47999999999999"/>
    <n v="141.83000000000001"/>
  </r>
  <r>
    <s v="ORD-1153"/>
    <d v="2025-04-25T00:00:00"/>
    <s v="CUST-259"/>
    <s v="Consumer"/>
    <s v="Central"/>
    <s v="Office Supplies"/>
    <x v="23"/>
    <n v="10"/>
    <n v="402.95"/>
    <n v="4029.5"/>
    <x v="1"/>
    <x v="5"/>
    <n v="6"/>
    <n v="133.37"/>
    <n v="1333.7"/>
    <n v="2695.8"/>
  </r>
  <r>
    <s v="ORD-1154"/>
    <d v="2025-04-26T00:00:00"/>
    <s v="CUST-260"/>
    <s v="Home Office"/>
    <s v="South"/>
    <s v="Toys"/>
    <x v="10"/>
    <n v="13"/>
    <n v="363.25"/>
    <n v="4722.25"/>
    <x v="1"/>
    <x v="5"/>
    <n v="7"/>
    <n v="46.19"/>
    <n v="600.47"/>
    <n v="4121.78"/>
  </r>
  <r>
    <s v="ORD-1155"/>
    <d v="2025-04-27T00:00:00"/>
    <s v="CUST-261"/>
    <s v="Corporate"/>
    <s v="South"/>
    <s v="Electronics"/>
    <x v="18"/>
    <n v="13"/>
    <n v="226"/>
    <n v="2938"/>
    <x v="1"/>
    <x v="5"/>
    <n v="1"/>
    <n v="230.68"/>
    <n v="2998.84"/>
    <n v="-60.840000000000146"/>
  </r>
  <r>
    <s v="ORD-1156"/>
    <d v="2025-04-28T00:00:00"/>
    <s v="CUST-262"/>
    <s v="Corporate"/>
    <s v="South"/>
    <s v="Electronics"/>
    <x v="0"/>
    <n v="12"/>
    <n v="213.6"/>
    <n v="2563.1999999999998"/>
    <x v="1"/>
    <x v="5"/>
    <n v="2"/>
    <n v="146.06"/>
    <n v="1752.72"/>
    <n v="810.47999999999979"/>
  </r>
  <r>
    <s v="ORD-1157"/>
    <d v="2025-04-29T00:00:00"/>
    <s v="CUST-263"/>
    <s v="Home Office"/>
    <s v="Central"/>
    <s v="Home &amp; Kitchen"/>
    <x v="12"/>
    <n v="15"/>
    <n v="143.54"/>
    <n v="2153.1"/>
    <x v="1"/>
    <x v="5"/>
    <n v="3"/>
    <n v="211.9"/>
    <n v="3178.5"/>
    <n v="-1025.4000000000001"/>
  </r>
  <r>
    <s v="ORD-1158"/>
    <d v="2025-04-30T00:00:00"/>
    <s v="CUST-264"/>
    <s v="Consumer"/>
    <s v="West"/>
    <s v="Home &amp; Kitchen"/>
    <x v="4"/>
    <n v="8"/>
    <n v="481.82"/>
    <n v="3854.56"/>
    <x v="1"/>
    <x v="5"/>
    <n v="4"/>
    <n v="230.34"/>
    <n v="1842.72"/>
    <n v="2011.84"/>
  </r>
  <r>
    <s v="ORD-1159"/>
    <d v="2025-05-01T00:00:00"/>
    <s v="CUST-265"/>
    <s v="Consumer"/>
    <s v="West"/>
    <s v="Toys"/>
    <x v="10"/>
    <n v="13"/>
    <n v="203.34"/>
    <n v="2643.42"/>
    <x v="1"/>
    <x v="6"/>
    <n v="5"/>
    <n v="46.19"/>
    <n v="600.47"/>
    <n v="2042.95"/>
  </r>
  <r>
    <s v="ORD-1160"/>
    <d v="2025-05-02T00:00:00"/>
    <s v="CUST-266"/>
    <s v="Home Office"/>
    <s v="North"/>
    <s v="Office Supplies"/>
    <x v="23"/>
    <n v="12"/>
    <n v="339.45"/>
    <n v="4073.3999999999996"/>
    <x v="1"/>
    <x v="6"/>
    <n v="6"/>
    <n v="133.37"/>
    <n v="1600.44"/>
    <n v="2472.9599999999996"/>
  </r>
  <r>
    <s v="ORD-1161"/>
    <d v="2025-05-03T00:00:00"/>
    <s v="CUST-267"/>
    <s v="Corporate"/>
    <s v="East"/>
    <s v="Electronics"/>
    <x v="15"/>
    <n v="1"/>
    <n v="313.58"/>
    <n v="313.58"/>
    <x v="1"/>
    <x v="6"/>
    <n v="7"/>
    <n v="216.22"/>
    <n v="216.22"/>
    <n v="97.359999999999985"/>
  </r>
  <r>
    <s v="ORD-1162"/>
    <d v="2025-05-04T00:00:00"/>
    <s v="CUST-268"/>
    <s v="Home Office"/>
    <s v="Central"/>
    <s v="Clothing"/>
    <x v="7"/>
    <n v="14"/>
    <n v="237.49"/>
    <n v="3324.86"/>
    <x v="1"/>
    <x v="6"/>
    <n v="1"/>
    <n v="107.34"/>
    <n v="1502.76"/>
    <n v="1822.1000000000001"/>
  </r>
  <r>
    <s v="ORD-1163"/>
    <d v="2025-05-05T00:00:00"/>
    <s v="CUST-269"/>
    <s v="Consumer"/>
    <s v="West"/>
    <s v="Electronics"/>
    <x v="15"/>
    <n v="1"/>
    <n v="159.13999999999999"/>
    <n v="159.13999999999999"/>
    <x v="1"/>
    <x v="6"/>
    <n v="2"/>
    <n v="216.22"/>
    <n v="216.22"/>
    <n v="-57.080000000000013"/>
  </r>
  <r>
    <s v="ORD-1164"/>
    <d v="2025-05-06T00:00:00"/>
    <s v="CUST-270"/>
    <s v="Consumer"/>
    <s v="North"/>
    <s v="Clothing"/>
    <x v="14"/>
    <n v="7"/>
    <n v="232.29"/>
    <n v="1626.03"/>
    <x v="1"/>
    <x v="6"/>
    <n v="3"/>
    <n v="201.32"/>
    <n v="1409.24"/>
    <n v="216.78999999999996"/>
  </r>
  <r>
    <s v="ORD-1165"/>
    <d v="2025-05-07T00:00:00"/>
    <s v="CUST-271"/>
    <s v="Home Office"/>
    <s v="Central"/>
    <s v="Office Supplies"/>
    <x v="20"/>
    <n v="12"/>
    <n v="85.72"/>
    <n v="1028.6399999999999"/>
    <x v="1"/>
    <x v="6"/>
    <n v="4"/>
    <n v="81.02"/>
    <n v="972.24"/>
    <n v="56.399999999999864"/>
  </r>
  <r>
    <s v="ORD-1166"/>
    <d v="2025-05-08T00:00:00"/>
    <s v="CUST-272"/>
    <s v="Corporate"/>
    <s v="North"/>
    <s v="Office Supplies"/>
    <x v="20"/>
    <n v="5"/>
    <n v="26.03"/>
    <n v="130.15"/>
    <x v="1"/>
    <x v="6"/>
    <n v="5"/>
    <n v="81.02"/>
    <n v="405.09999999999997"/>
    <n v="-274.94999999999993"/>
  </r>
  <r>
    <s v="ORD-1167"/>
    <d v="2025-05-09T00:00:00"/>
    <s v="CUST-273"/>
    <s v="Corporate"/>
    <s v="West"/>
    <s v="Office Supplies"/>
    <x v="22"/>
    <n v="2"/>
    <n v="490.65"/>
    <n v="981.3"/>
    <x v="1"/>
    <x v="6"/>
    <n v="6"/>
    <n v="149.27000000000001"/>
    <n v="298.54000000000002"/>
    <n v="682.76"/>
  </r>
  <r>
    <s v="ORD-1168"/>
    <d v="2025-05-10T00:00:00"/>
    <s v="CUST-274"/>
    <s v="Corporate"/>
    <s v="East"/>
    <s v="Electronics"/>
    <x v="19"/>
    <n v="4"/>
    <n v="484.42"/>
    <n v="1937.68"/>
    <x v="1"/>
    <x v="6"/>
    <n v="7"/>
    <n v="145.47999999999999"/>
    <n v="581.91999999999996"/>
    <n v="1355.7600000000002"/>
  </r>
  <r>
    <s v="ORD-1169"/>
    <d v="2025-05-11T00:00:00"/>
    <s v="CUST-275"/>
    <s v="Consumer"/>
    <s v="South"/>
    <s v="Toys"/>
    <x v="2"/>
    <n v="13"/>
    <n v="173.42"/>
    <n v="2254.46"/>
    <x v="1"/>
    <x v="6"/>
    <n v="1"/>
    <n v="88.18"/>
    <n v="1146.3400000000001"/>
    <n v="1108.1199999999999"/>
  </r>
  <r>
    <s v="ORD-1170"/>
    <d v="2025-05-12T00:00:00"/>
    <s v="CUST-276"/>
    <s v="Consumer"/>
    <s v="South"/>
    <s v="Electronics"/>
    <x v="1"/>
    <n v="10"/>
    <n v="115.82"/>
    <n v="1158.1999999999998"/>
    <x v="1"/>
    <x v="6"/>
    <n v="2"/>
    <n v="178.83"/>
    <n v="1788.3000000000002"/>
    <n v="-630.10000000000036"/>
  </r>
  <r>
    <s v="ORD-1171"/>
    <d v="2025-05-13T00:00:00"/>
    <s v="CUST-277"/>
    <s v="Corporate"/>
    <s v="South"/>
    <s v="Toys"/>
    <x v="2"/>
    <n v="14"/>
    <n v="492.17"/>
    <n v="6890.38"/>
    <x v="1"/>
    <x v="6"/>
    <n v="3"/>
    <n v="88.18"/>
    <n v="1234.52"/>
    <n v="5655.8600000000006"/>
  </r>
  <r>
    <s v="ORD-1172"/>
    <d v="2025-05-14T00:00:00"/>
    <s v="CUST-278"/>
    <s v="Home Office"/>
    <s v="East"/>
    <s v="Clothing"/>
    <x v="7"/>
    <n v="14"/>
    <n v="22.63"/>
    <n v="316.82"/>
    <x v="1"/>
    <x v="6"/>
    <n v="4"/>
    <n v="107.34"/>
    <n v="1502.76"/>
    <n v="-1185.94"/>
  </r>
  <r>
    <s v="ORD-1173"/>
    <d v="2025-05-15T00:00:00"/>
    <s v="CUST-279"/>
    <s v="Consumer"/>
    <s v="South"/>
    <s v="Toys"/>
    <x v="10"/>
    <n v="3"/>
    <n v="140.03"/>
    <n v="420.09000000000003"/>
    <x v="1"/>
    <x v="6"/>
    <n v="5"/>
    <n v="46.19"/>
    <n v="138.57"/>
    <n v="281.52000000000004"/>
  </r>
  <r>
    <s v="ORD-1174"/>
    <d v="2025-05-16T00:00:00"/>
    <s v="CUST-280"/>
    <s v="Consumer"/>
    <s v="Central"/>
    <s v="Electronics"/>
    <x v="18"/>
    <n v="8"/>
    <n v="391.23"/>
    <n v="3129.84"/>
    <x v="1"/>
    <x v="6"/>
    <n v="6"/>
    <n v="230.68"/>
    <n v="1845.44"/>
    <n v="1284.4000000000001"/>
  </r>
  <r>
    <s v="ORD-1175"/>
    <d v="2025-05-17T00:00:00"/>
    <s v="CUST-281"/>
    <s v="Consumer"/>
    <s v="North"/>
    <s v="Office Supplies"/>
    <x v="20"/>
    <n v="10"/>
    <n v="31.25"/>
    <n v="312.5"/>
    <x v="1"/>
    <x v="6"/>
    <n v="7"/>
    <n v="81.02"/>
    <n v="810.19999999999993"/>
    <n v="-497.69999999999993"/>
  </r>
  <r>
    <s v="ORD-1176"/>
    <d v="2025-05-18T00:00:00"/>
    <s v="CUST-282"/>
    <s v="Consumer"/>
    <s v="Central"/>
    <s v="Home &amp; Kitchen"/>
    <x v="17"/>
    <n v="1"/>
    <n v="39.799999999999997"/>
    <n v="39.799999999999997"/>
    <x v="1"/>
    <x v="6"/>
    <n v="1"/>
    <n v="26.59"/>
    <n v="26.59"/>
    <n v="13.209999999999997"/>
  </r>
  <r>
    <s v="ORD-1177"/>
    <d v="2025-05-19T00:00:00"/>
    <s v="CUST-283"/>
    <s v="Home Office"/>
    <s v="West"/>
    <s v="Electronics"/>
    <x v="19"/>
    <n v="15"/>
    <n v="227.35"/>
    <n v="3410.25"/>
    <x v="1"/>
    <x v="6"/>
    <n v="2"/>
    <n v="145.47999999999999"/>
    <n v="2182.1999999999998"/>
    <n v="1228.0500000000002"/>
  </r>
  <r>
    <s v="ORD-1178"/>
    <d v="2025-05-20T00:00:00"/>
    <s v="CUST-284"/>
    <s v="Consumer"/>
    <s v="Central"/>
    <s v="Clothing"/>
    <x v="7"/>
    <n v="5"/>
    <n v="315.92"/>
    <n v="1579.6000000000001"/>
    <x v="1"/>
    <x v="6"/>
    <n v="3"/>
    <n v="107.34"/>
    <n v="536.70000000000005"/>
    <n v="1042.9000000000001"/>
  </r>
  <r>
    <s v="ORD-1179"/>
    <d v="2025-05-21T00:00:00"/>
    <s v="CUST-285"/>
    <s v="Home Office"/>
    <s v="East"/>
    <s v="Office Supplies"/>
    <x v="20"/>
    <n v="5"/>
    <n v="232.32"/>
    <n v="1161.5999999999999"/>
    <x v="1"/>
    <x v="6"/>
    <n v="4"/>
    <n v="81.02"/>
    <n v="405.09999999999997"/>
    <n v="756.5"/>
  </r>
  <r>
    <s v="ORD-1180"/>
    <d v="2025-05-22T00:00:00"/>
    <s v="CUST-286"/>
    <s v="Home Office"/>
    <s v="North"/>
    <s v="Electronics"/>
    <x v="1"/>
    <n v="14"/>
    <n v="115.36"/>
    <n v="1615.04"/>
    <x v="1"/>
    <x v="6"/>
    <n v="5"/>
    <n v="178.83"/>
    <n v="2503.6200000000003"/>
    <n v="-888.58000000000038"/>
  </r>
  <r>
    <s v="ORD-1181"/>
    <d v="2025-05-23T00:00:00"/>
    <s v="CUST-287"/>
    <s v="Corporate"/>
    <s v="West"/>
    <s v="Home &amp; Kitchen"/>
    <x v="17"/>
    <n v="7"/>
    <n v="367.51"/>
    <n v="2572.5699999999997"/>
    <x v="1"/>
    <x v="6"/>
    <n v="6"/>
    <n v="26.59"/>
    <n v="186.13"/>
    <n v="2386.4399999999996"/>
  </r>
  <r>
    <s v="ORD-1182"/>
    <d v="2025-05-24T00:00:00"/>
    <s v="CUST-288"/>
    <s v="Consumer"/>
    <s v="East"/>
    <s v="Home &amp; Kitchen"/>
    <x v="4"/>
    <n v="11"/>
    <n v="462.26"/>
    <n v="5084.8599999999997"/>
    <x v="1"/>
    <x v="6"/>
    <n v="7"/>
    <n v="230.34"/>
    <n v="2533.7400000000002"/>
    <n v="2551.1199999999994"/>
  </r>
  <r>
    <s v="ORD-1183"/>
    <d v="2025-05-25T00:00:00"/>
    <s v="CUST-289"/>
    <s v="Consumer"/>
    <s v="North"/>
    <s v="Electronics"/>
    <x v="19"/>
    <n v="12"/>
    <n v="372.01"/>
    <n v="4464.12"/>
    <x v="1"/>
    <x v="6"/>
    <n v="1"/>
    <n v="145.47999999999999"/>
    <n v="1745.7599999999998"/>
    <n v="2718.36"/>
  </r>
  <r>
    <s v="ORD-1184"/>
    <d v="2025-05-26T00:00:00"/>
    <s v="CUST-290"/>
    <s v="Home Office"/>
    <s v="North"/>
    <s v="Toys"/>
    <x v="21"/>
    <n v="6"/>
    <n v="338.31"/>
    <n v="2029.8600000000001"/>
    <x v="1"/>
    <x v="6"/>
    <n v="2"/>
    <n v="32.94"/>
    <n v="197.64"/>
    <n v="1832.2200000000003"/>
  </r>
  <r>
    <s v="ORD-1185"/>
    <d v="2025-05-27T00:00:00"/>
    <s v="CUST-291"/>
    <s v="Home Office"/>
    <s v="West"/>
    <s v="Electronics"/>
    <x v="0"/>
    <n v="5"/>
    <n v="182.31"/>
    <n v="911.55"/>
    <x v="1"/>
    <x v="6"/>
    <n v="3"/>
    <n v="146.06"/>
    <n v="730.3"/>
    <n v="181.25"/>
  </r>
  <r>
    <s v="ORD-1186"/>
    <d v="2025-05-28T00:00:00"/>
    <s v="CUST-292"/>
    <s v="Consumer"/>
    <s v="South"/>
    <s v="Clothing"/>
    <x v="3"/>
    <n v="14"/>
    <n v="63.03"/>
    <n v="882.42000000000007"/>
    <x v="1"/>
    <x v="6"/>
    <n v="4"/>
    <n v="84.57"/>
    <n v="1183.98"/>
    <n v="-301.55999999999995"/>
  </r>
  <r>
    <s v="ORD-1187"/>
    <d v="2025-05-29T00:00:00"/>
    <s v="CUST-293"/>
    <s v="Consumer"/>
    <s v="North"/>
    <s v="Home &amp; Kitchen"/>
    <x v="12"/>
    <n v="13"/>
    <n v="220.27"/>
    <n v="2863.51"/>
    <x v="1"/>
    <x v="6"/>
    <n v="5"/>
    <n v="211.9"/>
    <n v="2754.7000000000003"/>
    <n v="108.80999999999995"/>
  </r>
  <r>
    <s v="ORD-1188"/>
    <d v="2025-05-30T00:00:00"/>
    <s v="CUST-294"/>
    <s v="Home Office"/>
    <s v="Central"/>
    <s v="Toys"/>
    <x v="2"/>
    <n v="15"/>
    <n v="332.34"/>
    <n v="4985.0999999999995"/>
    <x v="1"/>
    <x v="6"/>
    <n v="6"/>
    <n v="88.18"/>
    <n v="1322.7"/>
    <n v="3662.3999999999996"/>
  </r>
  <r>
    <s v="ORD-1189"/>
    <d v="2025-05-31T00:00:00"/>
    <s v="CUST-295"/>
    <s v="Home Office"/>
    <s v="North"/>
    <s v="Clothing"/>
    <x v="24"/>
    <n v="13"/>
    <n v="161.4"/>
    <n v="2098.2000000000003"/>
    <x v="1"/>
    <x v="6"/>
    <n v="7"/>
    <n v="10.11"/>
    <n v="131.43"/>
    <n v="1966.7700000000002"/>
  </r>
  <r>
    <s v="ORD-1190"/>
    <d v="2025-06-01T00:00:00"/>
    <s v="CUST-296"/>
    <s v="Home Office"/>
    <s v="North"/>
    <s v="Clothing"/>
    <x v="11"/>
    <n v="11"/>
    <n v="206.38"/>
    <n v="2270.1799999999998"/>
    <x v="1"/>
    <x v="7"/>
    <n v="1"/>
    <n v="33.22"/>
    <n v="365.41999999999996"/>
    <n v="1904.7599999999998"/>
  </r>
  <r>
    <s v="ORD-1191"/>
    <d v="2025-06-02T00:00:00"/>
    <s v="CUST-297"/>
    <s v="Consumer"/>
    <s v="North"/>
    <s v="Electronics"/>
    <x v="1"/>
    <n v="7"/>
    <n v="215.72"/>
    <n v="1510.04"/>
    <x v="1"/>
    <x v="7"/>
    <n v="2"/>
    <n v="178.83"/>
    <n v="1251.8100000000002"/>
    <n v="258.22999999999979"/>
  </r>
  <r>
    <s v="ORD-1192"/>
    <d v="2025-06-03T00:00:00"/>
    <s v="CUST-298"/>
    <s v="Home Office"/>
    <s v="East"/>
    <s v="Home &amp; Kitchen"/>
    <x v="4"/>
    <n v="10"/>
    <n v="51.63"/>
    <n v="516.30000000000007"/>
    <x v="1"/>
    <x v="7"/>
    <n v="3"/>
    <n v="230.34"/>
    <n v="2303.4"/>
    <n v="-1787.1"/>
  </r>
  <r>
    <s v="ORD-1193"/>
    <d v="2025-06-04T00:00:00"/>
    <s v="CUST-299"/>
    <s v="Home Office"/>
    <s v="South"/>
    <s v="Toys"/>
    <x v="2"/>
    <n v="2"/>
    <n v="143.33000000000001"/>
    <n v="286.66000000000003"/>
    <x v="1"/>
    <x v="7"/>
    <n v="4"/>
    <n v="88.18"/>
    <n v="176.36"/>
    <n v="110.30000000000001"/>
  </r>
  <r>
    <s v="ORD-1194"/>
    <d v="2025-06-05T00:00:00"/>
    <s v="CUST-300"/>
    <s v="Corporate"/>
    <s v="West"/>
    <s v="Toys"/>
    <x v="16"/>
    <n v="5"/>
    <n v="115.63"/>
    <n v="578.15"/>
    <x v="1"/>
    <x v="7"/>
    <n v="5"/>
    <n v="130.07"/>
    <n v="650.34999999999991"/>
    <n v="-72.199999999999932"/>
  </r>
  <r>
    <s v="ORD-1195"/>
    <d v="2025-06-06T00:00:00"/>
    <s v="CUST-301"/>
    <s v="Corporate"/>
    <s v="East"/>
    <s v="Office Supplies"/>
    <x v="5"/>
    <n v="11"/>
    <n v="342.46"/>
    <n v="3767.06"/>
    <x v="1"/>
    <x v="7"/>
    <n v="6"/>
    <n v="64.61"/>
    <n v="710.71"/>
    <n v="3056.35"/>
  </r>
  <r>
    <s v="ORD-1196"/>
    <d v="2025-06-07T00:00:00"/>
    <s v="CUST-302"/>
    <s v="Corporate"/>
    <s v="East"/>
    <s v="Electronics"/>
    <x v="15"/>
    <n v="10"/>
    <n v="36.840000000000003"/>
    <n v="368.40000000000003"/>
    <x v="1"/>
    <x v="7"/>
    <n v="7"/>
    <n v="216.22"/>
    <n v="2162.1999999999998"/>
    <n v="-1793.7999999999997"/>
  </r>
  <r>
    <s v="ORD-1197"/>
    <d v="2025-06-08T00:00:00"/>
    <s v="CUST-303"/>
    <s v="Corporate"/>
    <s v="South"/>
    <s v="Clothing"/>
    <x v="24"/>
    <n v="6"/>
    <n v="68.790000000000006"/>
    <n v="412.74"/>
    <x v="1"/>
    <x v="7"/>
    <n v="1"/>
    <n v="10.11"/>
    <n v="60.66"/>
    <n v="352.08000000000004"/>
  </r>
  <r>
    <s v="ORD-1198"/>
    <d v="2025-06-09T00:00:00"/>
    <s v="CUST-304"/>
    <s v="Corporate"/>
    <s v="South"/>
    <s v="Clothing"/>
    <x v="3"/>
    <n v="12"/>
    <n v="122.75"/>
    <n v="1473"/>
    <x v="1"/>
    <x v="7"/>
    <n v="2"/>
    <n v="84.57"/>
    <n v="1014.8399999999999"/>
    <n v="458.16000000000008"/>
  </r>
  <r>
    <s v="ORD-1199"/>
    <d v="2025-06-10T00:00:00"/>
    <s v="CUST-305"/>
    <s v="Home Office"/>
    <s v="East"/>
    <s v="Electronics"/>
    <x v="19"/>
    <n v="1"/>
    <n v="223.75"/>
    <n v="223.75"/>
    <x v="1"/>
    <x v="7"/>
    <n v="3"/>
    <n v="145.47999999999999"/>
    <n v="145.47999999999999"/>
    <n v="78.27000000000001"/>
  </r>
  <r>
    <s v="ORD-1200"/>
    <d v="2025-06-11T00:00:00"/>
    <s v="CUST-306"/>
    <s v="Consumer"/>
    <s v="North"/>
    <s v="Electronics"/>
    <x v="0"/>
    <n v="4"/>
    <n v="78.37"/>
    <n v="313.48"/>
    <x v="1"/>
    <x v="7"/>
    <n v="4"/>
    <n v="146.06"/>
    <n v="584.24"/>
    <n v="-270.76"/>
  </r>
  <r>
    <s v="ORD-1201"/>
    <d v="2025-06-12T00:00:00"/>
    <s v="CUST-307"/>
    <s v="Corporate"/>
    <s v="Central"/>
    <s v="Electronics"/>
    <x v="1"/>
    <n v="1"/>
    <n v="24.6"/>
    <n v="24.6"/>
    <x v="1"/>
    <x v="7"/>
    <n v="5"/>
    <n v="178.83"/>
    <n v="178.83"/>
    <n v="-154.23000000000002"/>
  </r>
  <r>
    <s v="ORD-1202"/>
    <d v="2025-06-13T00:00:00"/>
    <s v="CUST-308"/>
    <s v="Home Office"/>
    <s v="Central"/>
    <s v="Toys"/>
    <x v="2"/>
    <n v="4"/>
    <n v="360.85"/>
    <n v="1443.4"/>
    <x v="1"/>
    <x v="7"/>
    <n v="6"/>
    <n v="88.18"/>
    <n v="352.72"/>
    <n v="1090.68"/>
  </r>
  <r>
    <s v="ORD-1203"/>
    <d v="2025-06-14T00:00:00"/>
    <s v="CUST-309"/>
    <s v="Home Office"/>
    <s v="West"/>
    <s v="Clothing"/>
    <x v="3"/>
    <n v="5"/>
    <n v="406.62"/>
    <n v="2033.1"/>
    <x v="1"/>
    <x v="7"/>
    <n v="7"/>
    <n v="84.57"/>
    <n v="422.84999999999997"/>
    <n v="1610.25"/>
  </r>
  <r>
    <s v="ORD-1204"/>
    <d v="2025-06-15T00:00:00"/>
    <s v="CUST-310"/>
    <s v="Consumer"/>
    <s v="West"/>
    <s v="Home &amp; Kitchen"/>
    <x v="4"/>
    <n v="4"/>
    <n v="479.03"/>
    <n v="1916.12"/>
    <x v="1"/>
    <x v="7"/>
    <n v="1"/>
    <n v="230.34"/>
    <n v="921.36"/>
    <n v="994.759999999999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F621EF-B6F3-41E4-B2CA-59D136E27D3F}"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M11" firstHeaderRow="1" firstDataRow="3" firstDataCol="1" rowPageCount="1" colPageCount="1"/>
  <pivotFields count="13">
    <pivotField showAll="0"/>
    <pivotField axis="axisCol" showAll="0">
      <items count="6">
        <item x="1"/>
        <item x="3"/>
        <item x="0"/>
        <item x="4"/>
        <item x="2"/>
        <item t="default"/>
      </items>
    </pivotField>
    <pivotField axis="axisRow" showAll="0">
      <items count="6">
        <item x="2"/>
        <item x="0"/>
        <item x="3"/>
        <item x="4"/>
        <item x="1"/>
        <item t="default"/>
      </items>
    </pivotField>
    <pivotField showAll="0"/>
    <pivotField numFmtId="2" showAll="0"/>
    <pivotField numFmtId="165" showAll="0"/>
    <pivotField dataField="1" numFmtId="165" showAll="0"/>
    <pivotField axis="axisPage" dataField="1" numFmtId="1" showAll="0">
      <items count="3">
        <item x="0"/>
        <item x="1"/>
        <item t="default"/>
      </items>
    </pivotField>
    <pivotField showAll="0"/>
    <pivotField showAll="0"/>
    <pivotField numFmtId="165" showAll="0"/>
    <pivotField numFmtId="165" showAll="0"/>
    <pivotField numFmtId="165" showAll="0"/>
  </pivotFields>
  <rowFields count="1">
    <field x="2"/>
  </rowFields>
  <rowItems count="6">
    <i>
      <x/>
    </i>
    <i>
      <x v="1"/>
    </i>
    <i>
      <x v="2"/>
    </i>
    <i>
      <x v="3"/>
    </i>
    <i>
      <x v="4"/>
    </i>
    <i t="grand">
      <x/>
    </i>
  </rowItems>
  <colFields count="2">
    <field x="1"/>
    <field x="-2"/>
  </colFields>
  <colItems count="12">
    <i>
      <x/>
      <x/>
    </i>
    <i r="1" i="1">
      <x v="1"/>
    </i>
    <i>
      <x v="1"/>
      <x/>
    </i>
    <i r="1" i="1">
      <x v="1"/>
    </i>
    <i>
      <x v="2"/>
      <x/>
    </i>
    <i r="1" i="1">
      <x v="1"/>
    </i>
    <i>
      <x v="3"/>
      <x/>
    </i>
    <i r="1" i="1">
      <x v="1"/>
    </i>
    <i>
      <x v="4"/>
      <x/>
    </i>
    <i r="1" i="1">
      <x v="1"/>
    </i>
    <i t="grand">
      <x/>
    </i>
    <i t="grand" i="1">
      <x/>
    </i>
  </colItems>
  <pageFields count="1">
    <pageField fld="7" hier="-1"/>
  </pageFields>
  <dataFields count="2">
    <dataField name="Sum of Sales Amount" fld="6" baseField="0" baseItem="0" numFmtId="165"/>
    <dataField name="Sum of YEAR" fld="7" baseField="0" baseItem="0" numFmtId="1"/>
  </dataField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1"/>
          </reference>
          <reference field="1" count="1" selected="0">
            <x v="0"/>
          </reference>
        </references>
      </pivotArea>
    </chartFormat>
    <chartFormat chart="0" format="2" series="1">
      <pivotArea type="data" outline="0" fieldPosition="0">
        <references count="2">
          <reference field="4294967294" count="1" selected="0">
            <x v="0"/>
          </reference>
          <reference field="1" count="1" selected="0">
            <x v="1"/>
          </reference>
        </references>
      </pivotArea>
    </chartFormat>
    <chartFormat chart="0" format="3" series="1">
      <pivotArea type="data" outline="0" fieldPosition="0">
        <references count="2">
          <reference field="4294967294" count="1" selected="0">
            <x v="1"/>
          </reference>
          <reference field="1" count="1" selected="0">
            <x v="1"/>
          </reference>
        </references>
      </pivotArea>
    </chartFormat>
    <chartFormat chart="0" format="4" series="1">
      <pivotArea type="data" outline="0" fieldPosition="0">
        <references count="2">
          <reference field="4294967294" count="1" selected="0">
            <x v="0"/>
          </reference>
          <reference field="1" count="1" selected="0">
            <x v="2"/>
          </reference>
        </references>
      </pivotArea>
    </chartFormat>
    <chartFormat chart="0" format="5" series="1">
      <pivotArea type="data" outline="0" fieldPosition="0">
        <references count="2">
          <reference field="4294967294" count="1" selected="0">
            <x v="1"/>
          </reference>
          <reference field="1" count="1" selected="0">
            <x v="2"/>
          </reference>
        </references>
      </pivotArea>
    </chartFormat>
    <chartFormat chart="0" format="6" series="1">
      <pivotArea type="data" outline="0" fieldPosition="0">
        <references count="2">
          <reference field="4294967294" count="1" selected="0">
            <x v="0"/>
          </reference>
          <reference field="1" count="1" selected="0">
            <x v="3"/>
          </reference>
        </references>
      </pivotArea>
    </chartFormat>
    <chartFormat chart="0" format="7" series="1">
      <pivotArea type="data" outline="0" fieldPosition="0">
        <references count="2">
          <reference field="4294967294" count="1" selected="0">
            <x v="1"/>
          </reference>
          <reference field="1" count="1" selected="0">
            <x v="3"/>
          </reference>
        </references>
      </pivotArea>
    </chartFormat>
    <chartFormat chart="0" format="8" series="1">
      <pivotArea type="data" outline="0" fieldPosition="0">
        <references count="2">
          <reference field="4294967294" count="1" selected="0">
            <x v="0"/>
          </reference>
          <reference field="1" count="1" selected="0">
            <x v="4"/>
          </reference>
        </references>
      </pivotArea>
    </chartFormat>
    <chartFormat chart="0" format="9" series="1">
      <pivotArea type="data" outline="0" fieldPosition="0">
        <references count="2">
          <reference field="4294967294" count="1" selected="0">
            <x v="1"/>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C5593A-15AC-491A-9F11-12F1E14F0A70}"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8" firstHeaderRow="1" firstDataRow="2" firstDataCol="1"/>
  <pivotFields count="13">
    <pivotField axis="axisRow" showAll="0">
      <items count="4">
        <item x="0"/>
        <item x="1"/>
        <item x="2"/>
        <item t="default"/>
      </items>
    </pivotField>
    <pivotField axis="axisCol" showAll="0">
      <items count="6">
        <item x="1"/>
        <item x="3"/>
        <item x="0"/>
        <item x="4"/>
        <item x="2"/>
        <item t="default"/>
      </items>
    </pivotField>
    <pivotField showAll="0">
      <items count="6">
        <item x="2"/>
        <item x="0"/>
        <item x="3"/>
        <item x="4"/>
        <item x="1"/>
        <item t="default"/>
      </items>
    </pivotField>
    <pivotField showAll="0"/>
    <pivotField dataField="1" numFmtId="2" showAll="0"/>
    <pivotField numFmtId="165" showAll="0"/>
    <pivotField numFmtId="165" showAll="0"/>
    <pivotField numFmtId="1" showAll="0">
      <items count="3">
        <item h="1" x="0"/>
        <item x="1"/>
        <item t="default"/>
      </items>
    </pivotField>
    <pivotField showAll="0"/>
    <pivotField showAll="0"/>
    <pivotField numFmtId="165" showAll="0"/>
    <pivotField numFmtId="165" showAll="0"/>
    <pivotField numFmtId="165" showAll="0"/>
  </pivotFields>
  <rowFields count="1">
    <field x="0"/>
  </rowFields>
  <rowItems count="4">
    <i>
      <x/>
    </i>
    <i>
      <x v="1"/>
    </i>
    <i>
      <x v="2"/>
    </i>
    <i t="grand">
      <x/>
    </i>
  </rowItems>
  <colFields count="1">
    <field x="1"/>
  </colFields>
  <colItems count="6">
    <i>
      <x/>
    </i>
    <i>
      <x v="1"/>
    </i>
    <i>
      <x v="2"/>
    </i>
    <i>
      <x v="3"/>
    </i>
    <i>
      <x v="4"/>
    </i>
    <i t="grand">
      <x/>
    </i>
  </colItems>
  <dataFields count="1">
    <dataField name="Average of Quantity" fld="4"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A6ADCD-3156-4640-A3F2-38CD03FE6A88}" name="PivotTable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4" firstHeaderRow="1" firstDataRow="1" firstDataCol="1"/>
  <pivotFields count="16">
    <pivotField showAll="0"/>
    <pivotField numFmtId="14" showAll="0"/>
    <pivotField showAll="0"/>
    <pivotField showAll="0"/>
    <pivotField showAll="0"/>
    <pivotField showAll="0"/>
    <pivotField showAll="0">
      <items count="26">
        <item x="2"/>
        <item x="12"/>
        <item x="13"/>
        <item x="6"/>
        <item x="4"/>
        <item x="9"/>
        <item x="21"/>
        <item x="1"/>
        <item x="24"/>
        <item x="11"/>
        <item x="18"/>
        <item x="16"/>
        <item x="19"/>
        <item x="22"/>
        <item x="20"/>
        <item x="23"/>
        <item x="10"/>
        <item x="15"/>
        <item x="14"/>
        <item x="5"/>
        <item x="3"/>
        <item x="0"/>
        <item x="8"/>
        <item x="7"/>
        <item x="17"/>
        <item t="default"/>
      </items>
    </pivotField>
    <pivotField numFmtId="2" showAll="0"/>
    <pivotField numFmtId="165" showAll="0"/>
    <pivotField dataField="1" numFmtId="165" showAll="0"/>
    <pivotField axis="axisRow" numFmtId="1" showAll="0">
      <items count="3">
        <item x="0"/>
        <item x="1"/>
        <item t="default"/>
      </items>
    </pivotField>
    <pivotField axis="axisRow" showAll="0">
      <items count="9">
        <item x="2"/>
        <item x="3"/>
        <item x="4"/>
        <item x="5"/>
        <item x="6"/>
        <item x="7"/>
        <item x="0"/>
        <item x="1"/>
        <item t="default"/>
      </items>
    </pivotField>
    <pivotField showAll="0"/>
    <pivotField numFmtId="165" showAll="0"/>
    <pivotField numFmtId="165" showAll="0"/>
    <pivotField numFmtId="165" showAll="0"/>
  </pivotFields>
  <rowFields count="2">
    <field x="10"/>
    <field x="11"/>
  </rowFields>
  <rowItems count="11">
    <i>
      <x/>
    </i>
    <i r="1">
      <x v="6"/>
    </i>
    <i r="1">
      <x v="7"/>
    </i>
    <i>
      <x v="1"/>
    </i>
    <i r="1">
      <x/>
    </i>
    <i r="1">
      <x v="1"/>
    </i>
    <i r="1">
      <x v="2"/>
    </i>
    <i r="1">
      <x v="3"/>
    </i>
    <i r="1">
      <x v="4"/>
    </i>
    <i r="1">
      <x v="5"/>
    </i>
    <i t="grand">
      <x/>
    </i>
  </rowItems>
  <colItems count="1">
    <i/>
  </colItems>
  <dataFields count="1">
    <dataField name="Sum of Sales Amount" fld="9"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185F48-F955-465A-9AEB-F593C2F3C3F7}" name="PivotTable6"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6">
    <pivotField showAll="0"/>
    <pivotField numFmtId="14" showAll="0"/>
    <pivotField showAll="0"/>
    <pivotField showAll="0"/>
    <pivotField showAll="0"/>
    <pivotField showAll="0"/>
    <pivotField axis="axisRow" showAll="0" measureFilter="1">
      <items count="26">
        <item x="2"/>
        <item x="12"/>
        <item x="13"/>
        <item x="6"/>
        <item x="4"/>
        <item x="9"/>
        <item x="21"/>
        <item x="1"/>
        <item x="24"/>
        <item x="11"/>
        <item x="18"/>
        <item x="16"/>
        <item x="19"/>
        <item x="22"/>
        <item x="20"/>
        <item x="23"/>
        <item x="10"/>
        <item x="15"/>
        <item x="14"/>
        <item x="5"/>
        <item x="3"/>
        <item x="0"/>
        <item x="8"/>
        <item x="7"/>
        <item x="17"/>
        <item t="default"/>
      </items>
    </pivotField>
    <pivotField numFmtId="2" showAll="0"/>
    <pivotField numFmtId="165" showAll="0"/>
    <pivotField dataField="1" numFmtId="165" showAll="0"/>
    <pivotField numFmtId="1" showAll="0"/>
    <pivotField showAll="0"/>
    <pivotField showAll="0"/>
    <pivotField numFmtId="165" showAll="0"/>
    <pivotField numFmtId="165" showAll="0"/>
    <pivotField numFmtId="165" showAll="0"/>
  </pivotFields>
  <rowFields count="1">
    <field x="6"/>
  </rowFields>
  <rowItems count="6">
    <i>
      <x v="1"/>
    </i>
    <i>
      <x v="11"/>
    </i>
    <i>
      <x v="12"/>
    </i>
    <i>
      <x v="15"/>
    </i>
    <i>
      <x v="19"/>
    </i>
    <i t="grand">
      <x/>
    </i>
  </rowItems>
  <colItems count="1">
    <i/>
  </colItems>
  <dataFields count="1">
    <dataField name="Sum of Sales Amount" fld="9"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BDDA95D-709B-488D-B4CB-D4FE573CB166}" sourceName="Segment">
  <pivotTables>
    <pivotTable tabId="10" name="PivotTable4"/>
  </pivotTables>
  <data>
    <tabular pivotCacheId="189820243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9144E96-0137-46E3-8AED-C856FEC6830F}" sourceName="Region">
  <pivotTables>
    <pivotTable tabId="10" name="PivotTable4"/>
  </pivotTables>
  <data>
    <tabular pivotCacheId="1898202439">
      <items count="5">
        <i x="1" s="1"/>
        <i x="3" s="1"/>
        <i x="0"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65E1A83-2E31-43EC-9438-56E59B2D77C3}" sourceName="Category">
  <pivotTables>
    <pivotTable tabId="10" name="PivotTable4"/>
  </pivotTables>
  <data>
    <tabular pivotCacheId="1898202439">
      <items count="5">
        <i x="2" s="1"/>
        <i x="0" s="1"/>
        <i x="3" s="1"/>
        <i x="4"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9AFD65A-0576-4D3B-B8B5-7C04ABA53A3C}" sourceName="YEAR">
  <pivotTables>
    <pivotTable tabId="10" name="PivotTable4"/>
  </pivotTables>
  <data>
    <tabular pivotCacheId="1898202439">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1983C192-B19D-4B0D-BA53-725BBB1869FC}" cache="Slicer_Segment" caption="Segment" rowHeight="241300"/>
  <slicer name="Region" xr10:uid="{EDF70B2E-0F05-4499-9589-314E95B99B75}" cache="Slicer_Region" caption="Region" rowHeight="241300"/>
  <slicer name="Category" xr10:uid="{E3443B37-1A5B-4746-A822-A9BB8046568E}" cache="Slicer_Category" caption="Category" rowHeight="241300"/>
  <slicer name="YEAR" xr10:uid="{F5808EAF-C47A-4169-AB24-EF7DE1DE7D05}"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6ABCC1-DAB8-499A-904C-D21ACFC9F4B5}" name="Table2" displayName="Table2" ref="A2:P208" totalsRowCount="1" tableBorderDxfId="34">
  <autoFilter ref="A2:P207" xr:uid="{006ABCC1-DAB8-499A-904C-D21ACFC9F4B5}"/>
  <tableColumns count="16">
    <tableColumn id="1" xr3:uid="{D18878BE-74C1-44E2-85F9-3FBF8CA33C10}" name="Order ID" totalsRowLabel="Total"/>
    <tableColumn id="2" xr3:uid="{D5D6BC25-9689-4C07-B8F3-3A1ED3EC8597}" name="Order Date" dataDxfId="33"/>
    <tableColumn id="3" xr3:uid="{9AE82107-7530-4DAE-AF5B-93917803C669}" name="Customer ID"/>
    <tableColumn id="4" xr3:uid="{FDD3E121-147D-4083-9E6A-2DEC06DB405C}" name="Segment"/>
    <tableColumn id="5" xr3:uid="{993B33D0-C82B-47D3-863E-AB7C1824F318}" name="Region"/>
    <tableColumn id="6" xr3:uid="{A6F92D6C-D3EC-4908-B036-B7D5C5927C4E}" name="Category"/>
    <tableColumn id="7" xr3:uid="{C4217B6F-5EAF-447F-9988-23F57B30D133}" name="Product"/>
    <tableColumn id="8" xr3:uid="{AB88BD67-401C-4173-926F-8CD42323167D}" name="Quantity" totalsRowFunction="sum" dataDxfId="32" totalsRowDxfId="6"/>
    <tableColumn id="9" xr3:uid="{9E5AED72-33DE-4D95-BE27-6A1BB64DDBAE}" name="Unit Price" totalsRowFunction="sum" dataDxfId="31" totalsRowDxfId="5"/>
    <tableColumn id="10" xr3:uid="{7BC46FFE-5C0A-4627-973B-797CE16F83FA}" name="Sales Amount" totalsRowFunction="sum" dataDxfId="30" totalsRowDxfId="4">
      <calculatedColumnFormula>I3*H3</calculatedColumnFormula>
    </tableColumn>
    <tableColumn id="12" xr3:uid="{7DFEDB2A-7073-40FA-AA00-05B23458FBFF}" name="YEAR" dataDxfId="29" totalsRowDxfId="3">
      <calculatedColumnFormula>YEAR(Table2[[#This Row],[Order Date]])</calculatedColumnFormula>
    </tableColumn>
    <tableColumn id="13" xr3:uid="{4A89BDF1-6D79-49A1-B231-A7C4894909BC}" name="Month" dataDxfId="28">
      <calculatedColumnFormula>MONTH(Table2[[#This Row],[Order Date]])</calculatedColumnFormula>
    </tableColumn>
    <tableColumn id="14" xr3:uid="{23AFE6FF-CA98-464B-913C-D5AFFD43DF75}" name="Day of Week" dataDxfId="27">
      <calculatedColumnFormula>WEEKDAY(Table2[[#This Row],[Order Date]])</calculatedColumnFormula>
    </tableColumn>
    <tableColumn id="17" xr3:uid="{79A3765E-05EE-4450-AB78-8036DB375B91}" name="Product Cost(VL)" totalsRowFunction="sum" dataDxfId="26" totalsRowDxfId="2">
      <calculatedColumnFormula>VLOOKUP(Table2[[#This Row],[Product]], Product_Lookup!$A$2:$B$26, 2, FALSE)</calculatedColumnFormula>
    </tableColumn>
    <tableColumn id="18" xr3:uid="{6BB15A4F-7235-4325-A07D-A1B78B443B0D}" name=" PRODUCT COST" totalsRowFunction="sum" dataDxfId="25" totalsRowDxfId="1">
      <calculatedColumnFormula>Table2[[#This Row],[Product Cost(VL)]]*Table2[[#This Row],[Quantity]]</calculatedColumnFormula>
    </tableColumn>
    <tableColumn id="19" xr3:uid="{919EFD23-7E3B-46D2-B8AD-70C543A0D7FA}" name="PROFIT" totalsRowFunction="sum" dataDxfId="24" totalsRowDxfId="0">
      <calculatedColumnFormula>Table2[[#This Row],[Sales Amount]]-Table2[[#This Row],[ PRODUCT COST]]</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200A883-D110-423D-89CC-479EC8CDA1AA}" name="Table3" displayName="Table3" ref="C1:L212" totalsRowShown="0" headerRowDxfId="23">
  <autoFilter ref="C1:L212" xr:uid="{6200A883-D110-423D-89CC-479EC8CDA1AA}"/>
  <tableColumns count="10">
    <tableColumn id="1" xr3:uid="{B21689DF-E02E-4B16-93EA-1FD7D3B3395A}" name="Sales Amount"/>
    <tableColumn id="2" xr3:uid="{BE9444D0-B7D5-4C3D-8E9F-F22A02D982C5}" name="5%"/>
    <tableColumn id="3" xr3:uid="{1DFB322D-C806-45E6-8661-4DF5B13FDE43}" name="10%">
      <calculatedColumnFormula>$C2*E$1</calculatedColumnFormula>
    </tableColumn>
    <tableColumn id="4" xr3:uid="{49553372-D605-45A7-B1B4-06211161A9B8}" name="20%">
      <calculatedColumnFormula>$C2*F$1</calculatedColumnFormula>
    </tableColumn>
    <tableColumn id="5" xr3:uid="{AC2FD84C-EF16-45E0-8324-9586C5F1B626}" name="30%">
      <calculatedColumnFormula>$C2*G$1</calculatedColumnFormula>
    </tableColumn>
    <tableColumn id="6" xr3:uid="{270EC731-22F7-43B5-AC90-55352FCC6150}" name="Order Status ." dataDxfId="22">
      <calculatedColumnFormula>IF(Table3[[#This Row],[Sales Amount]]&gt;500,"Large Order",  "Standard Order")</calculatedColumnFormula>
    </tableColumn>
    <tableColumn id="7" xr3:uid="{B727BDD8-CEE8-45B2-B7DD-8747201A0E13}" name="types of orders" dataDxfId="21">
      <calculatedColumnFormula>IF(AND(Table3[[#This Row],[Sales Amount]]&gt;750,DATA_CLEANING!H3&gt;5), "GREAT ORDER", "LOW ORDER")</calculatedColumnFormula>
    </tableColumn>
    <tableColumn id="8" xr3:uid="{A752A06E-9DD0-461B-B22D-192292A31989}" name="IF,AND" dataDxfId="20">
      <calculatedColumnFormula>IF(Table3[[#This Row],[Sales Amount]]&gt;750,"Large Order",  "Standard Order")</calculatedColumnFormula>
    </tableColumn>
    <tableColumn id="9" xr3:uid="{31BFD5CD-46BC-4C84-BC75-02A33E1A00AE}" name="QUANTITY" dataDxfId="19" dataCellStyle="Comma">
      <calculatedColumnFormula>DATA_CLEANING!H3</calculatedColumnFormula>
    </tableColumn>
    <tableColumn id="10" xr3:uid="{7C0F9391-FB92-40B5-ABAA-891DB0166D3B}" name="CUSYOMER ID" dataDxfId="18">
      <calculatedColumnFormula>DATA_CLEANING!C2</calculatedColumnFormula>
    </tableColumn>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257B8B-EF59-4326-8D14-B2F65CC5CBF0}" name="Table1" displayName="Table1" ref="U1:U1048575" totalsRowShown="0" headerRowDxfId="17" dataDxfId="16">
  <autoFilter ref="U1:U1048575" xr:uid="{2C7FB289-9DFA-45FB-96EF-10F66E3ECF0F}"/>
  <tableColumns count="1">
    <tableColumn id="1" xr3:uid="{1700791E-E495-4E8D-B8A5-A77D789D0F24}" name="DISOUNT USING IF" dataDxfId="15"/>
  </tableColumns>
  <tableStyleInfo name="TableStyleMedium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33EDF19-55CB-408E-9139-1D423C76BF76}" name="Table4" displayName="Table4" ref="A1:B1048575" totalsRowShown="0" headerRowDxfId="14">
  <autoFilter ref="A1:B1048575" xr:uid="{E33EDF19-55CB-408E-9139-1D423C76BF76}"/>
  <tableColumns count="2">
    <tableColumn id="1" xr3:uid="{C788B650-D855-4CC2-8485-21EED819D1DC}" name="Column1"/>
    <tableColumn id="2" xr3:uid="{C450D883-A78D-413A-839F-567C0DDD2EC8}" name="Column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6"/>
  <sheetViews>
    <sheetView topLeftCell="A49" workbookViewId="0">
      <selection activeCell="J57" sqref="J57"/>
    </sheetView>
  </sheetViews>
  <sheetFormatPr defaultRowHeight="15" x14ac:dyDescent="0.25"/>
  <cols>
    <col min="1" max="1" width="10" customWidth="1"/>
    <col min="2" max="2" width="19.7109375" customWidth="1"/>
    <col min="3" max="3" width="11.85546875" customWidth="1"/>
    <col min="4" max="4" width="12.7109375" customWidth="1"/>
    <col min="6" max="6" width="15.42578125" customWidth="1"/>
    <col min="7" max="7" width="12.85546875" customWidth="1"/>
    <col min="9" max="9" width="11.7109375" customWidth="1"/>
    <col min="10" max="10" width="12.5703125"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s="2">
        <v>45619</v>
      </c>
      <c r="C2" t="s">
        <v>11</v>
      </c>
      <c r="D2" t="s">
        <v>12</v>
      </c>
      <c r="E2" t="s">
        <v>13</v>
      </c>
      <c r="F2" t="s">
        <v>14</v>
      </c>
      <c r="G2" t="s">
        <v>15</v>
      </c>
      <c r="H2">
        <v>4</v>
      </c>
      <c r="I2" t="s">
        <v>305</v>
      </c>
    </row>
    <row r="3" spans="1:10" x14ac:dyDescent="0.25">
      <c r="A3" t="s">
        <v>16</v>
      </c>
      <c r="B3" s="2">
        <v>45638</v>
      </c>
      <c r="C3" t="s">
        <v>17</v>
      </c>
      <c r="D3" t="s">
        <v>18</v>
      </c>
      <c r="E3" t="s">
        <v>19</v>
      </c>
      <c r="F3" t="s">
        <v>14</v>
      </c>
      <c r="G3" t="s">
        <v>20</v>
      </c>
      <c r="H3">
        <v>1</v>
      </c>
      <c r="I3" t="s">
        <v>306</v>
      </c>
    </row>
    <row r="4" spans="1:10" x14ac:dyDescent="0.25">
      <c r="A4" t="s">
        <v>21</v>
      </c>
      <c r="B4" s="2">
        <v>45411</v>
      </c>
      <c r="C4" t="s">
        <v>22</v>
      </c>
      <c r="D4" t="s">
        <v>23</v>
      </c>
      <c r="E4" t="s">
        <v>19</v>
      </c>
      <c r="F4" t="s">
        <v>24</v>
      </c>
      <c r="G4" t="s">
        <v>25</v>
      </c>
      <c r="H4">
        <v>4</v>
      </c>
      <c r="I4" t="s">
        <v>307</v>
      </c>
    </row>
    <row r="5" spans="1:10" x14ac:dyDescent="0.25">
      <c r="A5" t="s">
        <v>26</v>
      </c>
      <c r="B5" s="2">
        <v>45571</v>
      </c>
      <c r="C5" t="s">
        <v>27</v>
      </c>
      <c r="D5" t="s">
        <v>23</v>
      </c>
      <c r="E5" t="s">
        <v>28</v>
      </c>
      <c r="F5" t="s">
        <v>29</v>
      </c>
      <c r="G5" t="s">
        <v>30</v>
      </c>
      <c r="H5">
        <v>5</v>
      </c>
      <c r="I5" t="s">
        <v>308</v>
      </c>
    </row>
    <row r="6" spans="1:10" x14ac:dyDescent="0.25">
      <c r="A6" t="s">
        <v>31</v>
      </c>
      <c r="B6" s="2">
        <v>45373</v>
      </c>
      <c r="C6" t="s">
        <v>32</v>
      </c>
      <c r="D6" t="s">
        <v>12</v>
      </c>
      <c r="E6" t="s">
        <v>28</v>
      </c>
      <c r="F6" t="s">
        <v>33</v>
      </c>
      <c r="G6" t="s">
        <v>34</v>
      </c>
      <c r="H6">
        <v>4</v>
      </c>
      <c r="I6" t="s">
        <v>309</v>
      </c>
    </row>
    <row r="7" spans="1:10" x14ac:dyDescent="0.25">
      <c r="A7" t="s">
        <v>35</v>
      </c>
      <c r="B7" s="2">
        <v>45344</v>
      </c>
      <c r="C7" t="s">
        <v>36</v>
      </c>
      <c r="D7" t="s">
        <v>18</v>
      </c>
      <c r="E7" t="s">
        <v>13</v>
      </c>
      <c r="F7" t="s">
        <v>37</v>
      </c>
      <c r="G7" t="s">
        <v>38</v>
      </c>
      <c r="H7">
        <v>14</v>
      </c>
      <c r="I7" t="s">
        <v>310</v>
      </c>
    </row>
    <row r="8" spans="1:10" x14ac:dyDescent="0.25">
      <c r="A8" t="s">
        <v>39</v>
      </c>
      <c r="B8" s="2">
        <v>45314</v>
      </c>
      <c r="C8" t="s">
        <v>40</v>
      </c>
      <c r="D8" t="s">
        <v>18</v>
      </c>
      <c r="E8" t="s">
        <v>28</v>
      </c>
      <c r="F8" t="s">
        <v>24</v>
      </c>
      <c r="G8" t="s">
        <v>25</v>
      </c>
      <c r="H8">
        <v>2</v>
      </c>
      <c r="I8" t="s">
        <v>311</v>
      </c>
    </row>
    <row r="9" spans="1:10" x14ac:dyDescent="0.25">
      <c r="A9" t="s">
        <v>41</v>
      </c>
      <c r="B9" s="2">
        <v>45608</v>
      </c>
      <c r="C9" t="s">
        <v>42</v>
      </c>
      <c r="D9" t="s">
        <v>23</v>
      </c>
      <c r="E9" t="s">
        <v>43</v>
      </c>
      <c r="F9" t="s">
        <v>24</v>
      </c>
      <c r="G9" t="s">
        <v>44</v>
      </c>
      <c r="H9">
        <v>2</v>
      </c>
      <c r="I9" t="s">
        <v>312</v>
      </c>
    </row>
    <row r="10" spans="1:10" x14ac:dyDescent="0.25">
      <c r="A10" t="s">
        <v>45</v>
      </c>
      <c r="B10" s="2">
        <v>45440</v>
      </c>
      <c r="C10" t="s">
        <v>46</v>
      </c>
      <c r="D10" t="s">
        <v>18</v>
      </c>
      <c r="E10" t="s">
        <v>13</v>
      </c>
      <c r="F10" t="s">
        <v>29</v>
      </c>
      <c r="G10" t="s">
        <v>47</v>
      </c>
      <c r="H10">
        <v>5</v>
      </c>
      <c r="I10" t="s">
        <v>313</v>
      </c>
    </row>
    <row r="11" spans="1:10" x14ac:dyDescent="0.25">
      <c r="A11" t="s">
        <v>48</v>
      </c>
      <c r="B11" s="2">
        <v>45375</v>
      </c>
      <c r="C11" t="s">
        <v>49</v>
      </c>
      <c r="D11" t="s">
        <v>23</v>
      </c>
      <c r="E11" t="s">
        <v>43</v>
      </c>
      <c r="F11" t="s">
        <v>50</v>
      </c>
      <c r="G11" t="s">
        <v>51</v>
      </c>
      <c r="H11">
        <v>5</v>
      </c>
      <c r="I11" t="s">
        <v>314</v>
      </c>
    </row>
    <row r="12" spans="1:10" x14ac:dyDescent="0.25">
      <c r="A12" t="s">
        <v>52</v>
      </c>
      <c r="B12" s="2">
        <v>45623</v>
      </c>
      <c r="C12" t="s">
        <v>53</v>
      </c>
      <c r="D12" t="s">
        <v>23</v>
      </c>
      <c r="E12" t="s">
        <v>13</v>
      </c>
      <c r="F12" t="s">
        <v>24</v>
      </c>
      <c r="G12" t="s">
        <v>44</v>
      </c>
      <c r="H12">
        <v>12</v>
      </c>
      <c r="I12" t="s">
        <v>315</v>
      </c>
    </row>
    <row r="13" spans="1:10" x14ac:dyDescent="0.25">
      <c r="A13" t="s">
        <v>54</v>
      </c>
      <c r="B13" s="2">
        <v>45486</v>
      </c>
      <c r="C13" t="s">
        <v>55</v>
      </c>
      <c r="D13" t="s">
        <v>23</v>
      </c>
      <c r="E13" t="s">
        <v>43</v>
      </c>
      <c r="F13" t="s">
        <v>24</v>
      </c>
      <c r="G13" t="s">
        <v>44</v>
      </c>
      <c r="H13">
        <v>6</v>
      </c>
      <c r="I13" t="s">
        <v>316</v>
      </c>
    </row>
    <row r="14" spans="1:10" x14ac:dyDescent="0.25">
      <c r="A14" t="s">
        <v>56</v>
      </c>
      <c r="B14" s="2">
        <v>45320</v>
      </c>
      <c r="C14" t="s">
        <v>57</v>
      </c>
      <c r="D14" t="s">
        <v>18</v>
      </c>
      <c r="E14" t="s">
        <v>58</v>
      </c>
      <c r="F14" t="s">
        <v>14</v>
      </c>
      <c r="G14" t="s">
        <v>15</v>
      </c>
      <c r="H14">
        <v>5</v>
      </c>
      <c r="I14" t="s">
        <v>317</v>
      </c>
    </row>
    <row r="15" spans="1:10" x14ac:dyDescent="0.25">
      <c r="A15" t="s">
        <v>59</v>
      </c>
      <c r="B15" s="2">
        <v>45453</v>
      </c>
      <c r="C15" t="s">
        <v>60</v>
      </c>
      <c r="D15" t="s">
        <v>23</v>
      </c>
      <c r="E15" t="s">
        <v>58</v>
      </c>
      <c r="F15" t="s">
        <v>37</v>
      </c>
      <c r="G15" t="s">
        <v>61</v>
      </c>
      <c r="H15">
        <v>8</v>
      </c>
      <c r="I15" t="s">
        <v>318</v>
      </c>
    </row>
    <row r="16" spans="1:10" x14ac:dyDescent="0.25">
      <c r="A16" t="s">
        <v>62</v>
      </c>
      <c r="B16" s="2">
        <v>45418</v>
      </c>
      <c r="C16" t="s">
        <v>63</v>
      </c>
      <c r="D16" t="s">
        <v>23</v>
      </c>
      <c r="E16" t="s">
        <v>19</v>
      </c>
      <c r="F16" t="s">
        <v>24</v>
      </c>
      <c r="G16" t="s">
        <v>64</v>
      </c>
      <c r="H16">
        <v>10</v>
      </c>
      <c r="I16" t="s">
        <v>319</v>
      </c>
    </row>
    <row r="17" spans="1:9" x14ac:dyDescent="0.25">
      <c r="A17" t="s">
        <v>65</v>
      </c>
      <c r="B17" s="2">
        <v>45496</v>
      </c>
      <c r="C17" t="s">
        <v>66</v>
      </c>
      <c r="D17" t="s">
        <v>23</v>
      </c>
      <c r="E17" t="s">
        <v>43</v>
      </c>
      <c r="F17" t="s">
        <v>67</v>
      </c>
      <c r="G17" t="s">
        <v>68</v>
      </c>
      <c r="H17">
        <v>8</v>
      </c>
      <c r="I17" t="s">
        <v>320</v>
      </c>
    </row>
    <row r="18" spans="1:9" x14ac:dyDescent="0.25">
      <c r="A18" t="s">
        <v>69</v>
      </c>
      <c r="B18" s="2">
        <v>45348</v>
      </c>
      <c r="C18" t="s">
        <v>70</v>
      </c>
      <c r="D18" t="s">
        <v>23</v>
      </c>
      <c r="E18" t="s">
        <v>58</v>
      </c>
      <c r="F18" t="s">
        <v>29</v>
      </c>
      <c r="G18" t="s">
        <v>30</v>
      </c>
      <c r="H18">
        <v>2</v>
      </c>
      <c r="I18" t="s">
        <v>321</v>
      </c>
    </row>
    <row r="19" spans="1:9" x14ac:dyDescent="0.25">
      <c r="A19" t="s">
        <v>71</v>
      </c>
      <c r="B19" s="2">
        <v>45531</v>
      </c>
      <c r="C19" t="s">
        <v>49</v>
      </c>
      <c r="D19" t="s">
        <v>12</v>
      </c>
      <c r="E19" t="s">
        <v>19</v>
      </c>
      <c r="F19" t="s">
        <v>33</v>
      </c>
      <c r="G19" t="s">
        <v>72</v>
      </c>
      <c r="H19">
        <v>11</v>
      </c>
      <c r="I19" t="s">
        <v>322</v>
      </c>
    </row>
    <row r="20" spans="1:9" x14ac:dyDescent="0.25">
      <c r="A20" t="s">
        <v>73</v>
      </c>
      <c r="B20" s="2">
        <v>45566</v>
      </c>
      <c r="C20" t="s">
        <v>27</v>
      </c>
      <c r="D20" t="s">
        <v>18</v>
      </c>
      <c r="E20" t="s">
        <v>43</v>
      </c>
      <c r="F20" t="s">
        <v>50</v>
      </c>
      <c r="G20" t="s">
        <v>74</v>
      </c>
      <c r="H20">
        <v>7</v>
      </c>
      <c r="I20" t="s">
        <v>323</v>
      </c>
    </row>
    <row r="21" spans="1:9" x14ac:dyDescent="0.25">
      <c r="A21" t="s">
        <v>75</v>
      </c>
      <c r="B21" s="2">
        <v>45426</v>
      </c>
      <c r="C21" t="s">
        <v>40</v>
      </c>
      <c r="D21" t="s">
        <v>12</v>
      </c>
      <c r="E21" t="s">
        <v>19</v>
      </c>
      <c r="F21" t="s">
        <v>29</v>
      </c>
      <c r="G21" t="s">
        <v>76</v>
      </c>
      <c r="H21">
        <v>14</v>
      </c>
      <c r="I21" t="s">
        <v>324</v>
      </c>
    </row>
    <row r="22" spans="1:9" x14ac:dyDescent="0.25">
      <c r="A22" t="s">
        <v>77</v>
      </c>
      <c r="B22" s="2">
        <v>45551</v>
      </c>
      <c r="C22" t="s">
        <v>55</v>
      </c>
      <c r="D22" t="s">
        <v>18</v>
      </c>
      <c r="E22" t="s">
        <v>19</v>
      </c>
      <c r="F22" t="s">
        <v>29</v>
      </c>
      <c r="G22" t="s">
        <v>68</v>
      </c>
      <c r="H22">
        <v>13</v>
      </c>
      <c r="I22" t="s">
        <v>325</v>
      </c>
    </row>
    <row r="23" spans="1:9" x14ac:dyDescent="0.25">
      <c r="A23" t="s">
        <v>78</v>
      </c>
      <c r="B23" s="2">
        <v>45563</v>
      </c>
      <c r="C23" t="s">
        <v>46</v>
      </c>
      <c r="D23" t="s">
        <v>18</v>
      </c>
      <c r="E23" t="s">
        <v>13</v>
      </c>
      <c r="F23" t="s">
        <v>24</v>
      </c>
      <c r="G23" t="s">
        <v>64</v>
      </c>
      <c r="H23">
        <v>1</v>
      </c>
      <c r="I23" t="s">
        <v>326</v>
      </c>
    </row>
    <row r="24" spans="1:9" x14ac:dyDescent="0.25">
      <c r="A24" t="s">
        <v>79</v>
      </c>
      <c r="B24" s="2">
        <v>45449</v>
      </c>
      <c r="C24" t="s">
        <v>80</v>
      </c>
      <c r="D24" t="s">
        <v>23</v>
      </c>
      <c r="E24" t="s">
        <v>58</v>
      </c>
      <c r="F24" t="s">
        <v>14</v>
      </c>
      <c r="G24" t="s">
        <v>81</v>
      </c>
      <c r="H24">
        <v>2</v>
      </c>
      <c r="I24" t="s">
        <v>327</v>
      </c>
    </row>
    <row r="25" spans="1:9" x14ac:dyDescent="0.25">
      <c r="A25" t="s">
        <v>82</v>
      </c>
      <c r="B25" s="2">
        <v>45327</v>
      </c>
      <c r="C25" t="s">
        <v>83</v>
      </c>
      <c r="D25" t="s">
        <v>23</v>
      </c>
      <c r="E25" t="s">
        <v>19</v>
      </c>
      <c r="F25" t="s">
        <v>29</v>
      </c>
      <c r="G25" t="s">
        <v>68</v>
      </c>
      <c r="H25">
        <v>8</v>
      </c>
      <c r="I25" t="s">
        <v>328</v>
      </c>
    </row>
    <row r="26" spans="1:9" x14ac:dyDescent="0.25">
      <c r="A26" t="s">
        <v>84</v>
      </c>
      <c r="B26" s="2">
        <v>45427</v>
      </c>
      <c r="C26" t="s">
        <v>85</v>
      </c>
      <c r="D26" t="s">
        <v>12</v>
      </c>
      <c r="E26" t="s">
        <v>19</v>
      </c>
      <c r="F26" t="s">
        <v>24</v>
      </c>
      <c r="G26" t="s">
        <v>86</v>
      </c>
      <c r="H26">
        <v>15</v>
      </c>
      <c r="I26" t="s">
        <v>329</v>
      </c>
    </row>
    <row r="27" spans="1:9" x14ac:dyDescent="0.25">
      <c r="A27" t="s">
        <v>87</v>
      </c>
      <c r="B27" s="2">
        <v>45645</v>
      </c>
      <c r="C27" t="s">
        <v>88</v>
      </c>
      <c r="D27" t="s">
        <v>23</v>
      </c>
      <c r="E27" t="s">
        <v>58</v>
      </c>
      <c r="F27" t="s">
        <v>33</v>
      </c>
      <c r="G27" t="s">
        <v>89</v>
      </c>
      <c r="H27">
        <v>11</v>
      </c>
      <c r="I27" t="s">
        <v>330</v>
      </c>
    </row>
    <row r="28" spans="1:9" x14ac:dyDescent="0.25">
      <c r="A28" t="s">
        <v>90</v>
      </c>
      <c r="B28" s="2">
        <v>45523</v>
      </c>
      <c r="C28" t="s">
        <v>91</v>
      </c>
      <c r="D28" t="s">
        <v>12</v>
      </c>
      <c r="E28" t="s">
        <v>13</v>
      </c>
      <c r="F28" t="s">
        <v>29</v>
      </c>
      <c r="G28" t="s">
        <v>68</v>
      </c>
      <c r="H28">
        <v>6</v>
      </c>
      <c r="I28" t="s">
        <v>331</v>
      </c>
    </row>
    <row r="29" spans="1:9" x14ac:dyDescent="0.25">
      <c r="A29" t="s">
        <v>92</v>
      </c>
      <c r="B29" s="2">
        <v>45409</v>
      </c>
      <c r="C29" t="s">
        <v>42</v>
      </c>
      <c r="D29" t="s">
        <v>12</v>
      </c>
      <c r="E29" t="s">
        <v>19</v>
      </c>
      <c r="F29" t="s">
        <v>29</v>
      </c>
      <c r="G29" t="s">
        <v>47</v>
      </c>
      <c r="H29">
        <v>12</v>
      </c>
      <c r="I29" t="s">
        <v>332</v>
      </c>
    </row>
    <row r="30" spans="1:9" x14ac:dyDescent="0.25">
      <c r="A30" t="s">
        <v>93</v>
      </c>
      <c r="B30" s="2">
        <v>45326</v>
      </c>
      <c r="C30" t="s">
        <v>80</v>
      </c>
      <c r="D30" t="s">
        <v>23</v>
      </c>
      <c r="E30" t="s">
        <v>13</v>
      </c>
      <c r="F30" t="s">
        <v>33</v>
      </c>
      <c r="G30" t="s">
        <v>74</v>
      </c>
      <c r="H30">
        <v>4</v>
      </c>
      <c r="I30" t="s">
        <v>333</v>
      </c>
    </row>
    <row r="31" spans="1:9" x14ac:dyDescent="0.25">
      <c r="A31" t="s">
        <v>94</v>
      </c>
      <c r="B31" s="2">
        <v>45401</v>
      </c>
      <c r="C31" t="s">
        <v>95</v>
      </c>
      <c r="D31" t="s">
        <v>23</v>
      </c>
      <c r="E31" t="s">
        <v>19</v>
      </c>
      <c r="F31" t="s">
        <v>29</v>
      </c>
      <c r="G31" t="s">
        <v>76</v>
      </c>
      <c r="H31">
        <v>8</v>
      </c>
      <c r="I31" t="s">
        <v>334</v>
      </c>
    </row>
    <row r="32" spans="1:9" x14ac:dyDescent="0.25">
      <c r="A32" t="s">
        <v>96</v>
      </c>
      <c r="B32" s="2">
        <v>45500</v>
      </c>
      <c r="C32" t="s">
        <v>97</v>
      </c>
      <c r="D32" t="s">
        <v>23</v>
      </c>
      <c r="E32" t="s">
        <v>58</v>
      </c>
      <c r="F32" t="s">
        <v>14</v>
      </c>
      <c r="G32" t="s">
        <v>98</v>
      </c>
      <c r="H32">
        <v>7</v>
      </c>
      <c r="I32" t="s">
        <v>335</v>
      </c>
    </row>
    <row r="33" spans="1:9" x14ac:dyDescent="0.25">
      <c r="A33" t="s">
        <v>99</v>
      </c>
      <c r="B33" s="2">
        <v>45531</v>
      </c>
      <c r="C33" t="s">
        <v>11</v>
      </c>
      <c r="D33" t="s">
        <v>18</v>
      </c>
      <c r="E33" t="s">
        <v>13</v>
      </c>
      <c r="F33" t="s">
        <v>14</v>
      </c>
      <c r="G33" t="s">
        <v>98</v>
      </c>
      <c r="H33">
        <v>12</v>
      </c>
      <c r="I33" t="s">
        <v>336</v>
      </c>
    </row>
    <row r="34" spans="1:9" x14ac:dyDescent="0.25">
      <c r="A34" t="s">
        <v>100</v>
      </c>
      <c r="B34" s="2">
        <v>45419</v>
      </c>
      <c r="C34" t="s">
        <v>101</v>
      </c>
      <c r="D34" t="s">
        <v>18</v>
      </c>
      <c r="E34" t="s">
        <v>58</v>
      </c>
      <c r="F34" t="s">
        <v>29</v>
      </c>
      <c r="G34" t="s">
        <v>76</v>
      </c>
      <c r="H34">
        <v>3</v>
      </c>
      <c r="I34" t="s">
        <v>337</v>
      </c>
    </row>
    <row r="35" spans="1:9" x14ac:dyDescent="0.25">
      <c r="A35" t="s">
        <v>102</v>
      </c>
      <c r="B35" s="2">
        <v>45528</v>
      </c>
      <c r="C35" t="s">
        <v>103</v>
      </c>
      <c r="D35" t="s">
        <v>23</v>
      </c>
      <c r="E35" t="s">
        <v>58</v>
      </c>
      <c r="F35" t="s">
        <v>14</v>
      </c>
      <c r="G35" t="s">
        <v>104</v>
      </c>
      <c r="H35">
        <v>2</v>
      </c>
      <c r="I35" t="s">
        <v>338</v>
      </c>
    </row>
    <row r="36" spans="1:9" x14ac:dyDescent="0.25">
      <c r="A36" t="s">
        <v>105</v>
      </c>
      <c r="B36" s="2">
        <v>45299</v>
      </c>
      <c r="C36" t="s">
        <v>106</v>
      </c>
      <c r="D36" t="s">
        <v>18</v>
      </c>
      <c r="E36" t="s">
        <v>13</v>
      </c>
      <c r="F36" t="s">
        <v>29</v>
      </c>
      <c r="G36" t="s">
        <v>68</v>
      </c>
      <c r="H36">
        <v>8</v>
      </c>
      <c r="I36" t="s">
        <v>339</v>
      </c>
    </row>
    <row r="37" spans="1:9" x14ac:dyDescent="0.25">
      <c r="A37" t="s">
        <v>107</v>
      </c>
      <c r="B37" s="2">
        <v>45322</v>
      </c>
      <c r="C37" t="s">
        <v>108</v>
      </c>
      <c r="D37" t="s">
        <v>18</v>
      </c>
      <c r="E37" t="s">
        <v>58</v>
      </c>
      <c r="F37" t="s">
        <v>37</v>
      </c>
      <c r="G37" t="s">
        <v>38</v>
      </c>
      <c r="H37">
        <v>5</v>
      </c>
      <c r="I37" t="s">
        <v>340</v>
      </c>
    </row>
    <row r="38" spans="1:9" x14ac:dyDescent="0.25">
      <c r="A38" t="s">
        <v>109</v>
      </c>
      <c r="B38" s="2">
        <v>45524</v>
      </c>
      <c r="C38" t="s">
        <v>110</v>
      </c>
      <c r="D38" t="s">
        <v>23</v>
      </c>
      <c r="E38" t="s">
        <v>43</v>
      </c>
      <c r="F38" t="s">
        <v>37</v>
      </c>
      <c r="G38" t="s">
        <v>111</v>
      </c>
      <c r="H38">
        <v>12</v>
      </c>
      <c r="I38" t="s">
        <v>341</v>
      </c>
    </row>
    <row r="39" spans="1:9" x14ac:dyDescent="0.25">
      <c r="A39" t="s">
        <v>112</v>
      </c>
      <c r="B39" s="2">
        <v>45443</v>
      </c>
      <c r="C39" t="s">
        <v>113</v>
      </c>
      <c r="D39" t="s">
        <v>23</v>
      </c>
      <c r="E39" t="s">
        <v>58</v>
      </c>
      <c r="F39" t="s">
        <v>14</v>
      </c>
      <c r="G39" t="s">
        <v>20</v>
      </c>
      <c r="H39">
        <v>9</v>
      </c>
      <c r="I39" t="s">
        <v>342</v>
      </c>
    </row>
    <row r="40" spans="1:9" x14ac:dyDescent="0.25">
      <c r="A40" t="s">
        <v>114</v>
      </c>
      <c r="B40" s="2">
        <v>45321</v>
      </c>
      <c r="C40" t="s">
        <v>83</v>
      </c>
      <c r="D40" t="s">
        <v>23</v>
      </c>
      <c r="E40" t="s">
        <v>13</v>
      </c>
      <c r="F40" t="s">
        <v>24</v>
      </c>
      <c r="G40" t="s">
        <v>86</v>
      </c>
      <c r="H40">
        <v>15</v>
      </c>
      <c r="I40" t="s">
        <v>343</v>
      </c>
    </row>
    <row r="41" spans="1:9" x14ac:dyDescent="0.25">
      <c r="A41" t="s">
        <v>115</v>
      </c>
      <c r="B41" s="2">
        <v>45321</v>
      </c>
      <c r="C41" t="s">
        <v>116</v>
      </c>
      <c r="D41" t="s">
        <v>12</v>
      </c>
      <c r="E41" t="s">
        <v>19</v>
      </c>
      <c r="F41" t="s">
        <v>14</v>
      </c>
      <c r="G41" t="s">
        <v>81</v>
      </c>
      <c r="H41">
        <v>10</v>
      </c>
      <c r="I41" t="s">
        <v>344</v>
      </c>
    </row>
    <row r="42" spans="1:9" x14ac:dyDescent="0.25">
      <c r="A42" t="s">
        <v>117</v>
      </c>
      <c r="B42" s="2">
        <v>45498</v>
      </c>
      <c r="C42" t="s">
        <v>118</v>
      </c>
      <c r="D42" t="s">
        <v>23</v>
      </c>
      <c r="E42" t="s">
        <v>13</v>
      </c>
      <c r="F42" t="s">
        <v>24</v>
      </c>
      <c r="G42" t="s">
        <v>44</v>
      </c>
      <c r="H42">
        <v>10</v>
      </c>
      <c r="I42" t="s">
        <v>345</v>
      </c>
    </row>
    <row r="43" spans="1:9" x14ac:dyDescent="0.25">
      <c r="A43" t="s">
        <v>119</v>
      </c>
      <c r="B43" s="2">
        <v>45506</v>
      </c>
      <c r="C43" t="s">
        <v>120</v>
      </c>
      <c r="D43" t="s">
        <v>18</v>
      </c>
      <c r="E43" t="s">
        <v>19</v>
      </c>
      <c r="F43" t="s">
        <v>24</v>
      </c>
      <c r="G43" t="s">
        <v>121</v>
      </c>
      <c r="H43">
        <v>15</v>
      </c>
      <c r="I43" t="s">
        <v>346</v>
      </c>
    </row>
    <row r="44" spans="1:9" x14ac:dyDescent="0.25">
      <c r="A44" t="s">
        <v>122</v>
      </c>
      <c r="B44" s="2">
        <v>45452</v>
      </c>
      <c r="C44" t="s">
        <v>53</v>
      </c>
      <c r="D44" t="s">
        <v>12</v>
      </c>
      <c r="E44" t="s">
        <v>58</v>
      </c>
      <c r="F44" t="s">
        <v>33</v>
      </c>
      <c r="G44" t="s">
        <v>89</v>
      </c>
      <c r="H44">
        <v>11</v>
      </c>
      <c r="I44" t="s">
        <v>347</v>
      </c>
    </row>
    <row r="45" spans="1:9" x14ac:dyDescent="0.25">
      <c r="A45" t="s">
        <v>123</v>
      </c>
      <c r="B45" s="2">
        <v>45453</v>
      </c>
      <c r="C45" t="s">
        <v>124</v>
      </c>
      <c r="D45" t="s">
        <v>23</v>
      </c>
      <c r="E45" t="s">
        <v>13</v>
      </c>
      <c r="F45" t="s">
        <v>14</v>
      </c>
      <c r="G45" t="s">
        <v>104</v>
      </c>
      <c r="H45">
        <v>10</v>
      </c>
      <c r="I45" t="s">
        <v>348</v>
      </c>
    </row>
    <row r="46" spans="1:9" x14ac:dyDescent="0.25">
      <c r="A46" t="s">
        <v>125</v>
      </c>
      <c r="B46" s="2">
        <v>45567</v>
      </c>
      <c r="C46" t="s">
        <v>124</v>
      </c>
      <c r="D46" t="s">
        <v>12</v>
      </c>
      <c r="E46" t="s">
        <v>58</v>
      </c>
      <c r="F46" t="s">
        <v>24</v>
      </c>
      <c r="G46" t="s">
        <v>64</v>
      </c>
      <c r="H46">
        <v>15</v>
      </c>
      <c r="I46" t="s">
        <v>349</v>
      </c>
    </row>
    <row r="47" spans="1:9" x14ac:dyDescent="0.25">
      <c r="A47" t="s">
        <v>126</v>
      </c>
      <c r="B47" s="2">
        <v>45417</v>
      </c>
      <c r="C47" t="s">
        <v>127</v>
      </c>
      <c r="D47" t="s">
        <v>18</v>
      </c>
      <c r="E47" t="s">
        <v>43</v>
      </c>
      <c r="F47" t="s">
        <v>33</v>
      </c>
      <c r="G47" t="s">
        <v>51</v>
      </c>
      <c r="H47">
        <v>14</v>
      </c>
      <c r="I47" t="s">
        <v>350</v>
      </c>
    </row>
    <row r="48" spans="1:9" x14ac:dyDescent="0.25">
      <c r="A48" t="s">
        <v>128</v>
      </c>
      <c r="B48" s="2">
        <v>45605</v>
      </c>
      <c r="C48" t="s">
        <v>60</v>
      </c>
      <c r="D48" t="s">
        <v>18</v>
      </c>
      <c r="E48" t="s">
        <v>19</v>
      </c>
      <c r="F48" t="s">
        <v>14</v>
      </c>
      <c r="G48" t="s">
        <v>20</v>
      </c>
      <c r="H48">
        <v>15</v>
      </c>
      <c r="I48" t="s">
        <v>351</v>
      </c>
    </row>
    <row r="49" spans="1:9" x14ac:dyDescent="0.25">
      <c r="A49" t="s">
        <v>129</v>
      </c>
      <c r="B49" s="2">
        <v>45427</v>
      </c>
      <c r="C49" t="s">
        <v>17</v>
      </c>
      <c r="D49" t="s">
        <v>12</v>
      </c>
      <c r="E49" t="s">
        <v>13</v>
      </c>
      <c r="F49" t="s">
        <v>14</v>
      </c>
      <c r="G49" t="s">
        <v>20</v>
      </c>
      <c r="H49">
        <v>5</v>
      </c>
      <c r="I49" t="s">
        <v>352</v>
      </c>
    </row>
    <row r="50" spans="1:9" x14ac:dyDescent="0.25">
      <c r="A50" t="s">
        <v>130</v>
      </c>
      <c r="B50" s="2">
        <v>45467</v>
      </c>
      <c r="C50" t="s">
        <v>66</v>
      </c>
      <c r="D50" t="s">
        <v>18</v>
      </c>
      <c r="E50" t="s">
        <v>58</v>
      </c>
      <c r="F50" t="s">
        <v>33</v>
      </c>
      <c r="G50" t="s">
        <v>72</v>
      </c>
      <c r="H50">
        <v>5</v>
      </c>
      <c r="I50" t="s">
        <v>353</v>
      </c>
    </row>
    <row r="51" spans="1:9" x14ac:dyDescent="0.25">
      <c r="A51" t="s">
        <v>131</v>
      </c>
      <c r="B51" s="2">
        <v>45339</v>
      </c>
      <c r="C51" t="s">
        <v>40</v>
      </c>
      <c r="D51" t="s">
        <v>12</v>
      </c>
      <c r="E51" t="s">
        <v>28</v>
      </c>
      <c r="F51" t="s">
        <v>33</v>
      </c>
      <c r="G51" t="s">
        <v>74</v>
      </c>
      <c r="H51">
        <v>6</v>
      </c>
      <c r="I51" t="s">
        <v>354</v>
      </c>
    </row>
    <row r="52" spans="1:9" x14ac:dyDescent="0.25">
      <c r="A52" t="s">
        <v>132</v>
      </c>
      <c r="B52" s="2">
        <v>45426</v>
      </c>
      <c r="C52" t="s">
        <v>133</v>
      </c>
      <c r="D52" t="s">
        <v>23</v>
      </c>
      <c r="E52" t="s">
        <v>58</v>
      </c>
      <c r="F52" t="s">
        <v>37</v>
      </c>
      <c r="G52" t="s">
        <v>111</v>
      </c>
      <c r="H52">
        <v>7</v>
      </c>
      <c r="I52" t="s">
        <v>355</v>
      </c>
    </row>
    <row r="53" spans="1:9" x14ac:dyDescent="0.25">
      <c r="A53" t="s">
        <v>134</v>
      </c>
      <c r="B53" s="2">
        <v>45330</v>
      </c>
      <c r="C53" t="s">
        <v>135</v>
      </c>
      <c r="D53" t="s">
        <v>18</v>
      </c>
      <c r="E53" t="s">
        <v>58</v>
      </c>
      <c r="F53" t="s">
        <v>24</v>
      </c>
      <c r="G53" t="s">
        <v>25</v>
      </c>
      <c r="H53">
        <v>10</v>
      </c>
      <c r="I53" t="s">
        <v>356</v>
      </c>
    </row>
    <row r="54" spans="1:9" x14ac:dyDescent="0.25">
      <c r="A54" t="s">
        <v>136</v>
      </c>
      <c r="B54" s="2">
        <v>45357</v>
      </c>
      <c r="C54" t="s">
        <v>49</v>
      </c>
      <c r="D54" t="s">
        <v>12</v>
      </c>
      <c r="E54" t="s">
        <v>13</v>
      </c>
      <c r="F54" t="s">
        <v>33</v>
      </c>
      <c r="G54" t="s">
        <v>34</v>
      </c>
      <c r="H54">
        <v>15</v>
      </c>
      <c r="I54" t="s">
        <v>357</v>
      </c>
    </row>
    <row r="55" spans="1:9" x14ac:dyDescent="0.25">
      <c r="A55" t="s">
        <v>137</v>
      </c>
      <c r="B55" s="2">
        <v>45419</v>
      </c>
      <c r="C55" t="s">
        <v>116</v>
      </c>
      <c r="D55" t="s">
        <v>18</v>
      </c>
      <c r="E55" t="s">
        <v>13</v>
      </c>
      <c r="F55" t="s">
        <v>33</v>
      </c>
      <c r="G55" t="s">
        <v>72</v>
      </c>
      <c r="H55">
        <v>10</v>
      </c>
      <c r="I55" t="s">
        <v>358</v>
      </c>
    </row>
    <row r="56" spans="1:9" x14ac:dyDescent="0.25">
      <c r="A56" t="s">
        <v>138</v>
      </c>
      <c r="B56" s="2">
        <v>45375</v>
      </c>
      <c r="C56" t="s">
        <v>108</v>
      </c>
      <c r="D56" t="s">
        <v>12</v>
      </c>
      <c r="E56" t="s">
        <v>58</v>
      </c>
      <c r="F56" t="s">
        <v>37</v>
      </c>
      <c r="G56" t="s">
        <v>38</v>
      </c>
      <c r="H56">
        <v>12</v>
      </c>
      <c r="I56" t="s">
        <v>359</v>
      </c>
    </row>
    <row r="57" spans="1:9" x14ac:dyDescent="0.25">
      <c r="A57" t="s">
        <v>139</v>
      </c>
      <c r="B57" s="2">
        <v>45502</v>
      </c>
      <c r="C57" t="s">
        <v>140</v>
      </c>
      <c r="E57" t="s">
        <v>58</v>
      </c>
      <c r="F57" t="s">
        <v>33</v>
      </c>
      <c r="G57" t="s">
        <v>51</v>
      </c>
      <c r="H57">
        <v>2</v>
      </c>
      <c r="I57" t="s">
        <v>360</v>
      </c>
    </row>
    <row r="58" spans="1:9" x14ac:dyDescent="0.25">
      <c r="A58" t="s">
        <v>141</v>
      </c>
      <c r="B58" s="2">
        <v>45532</v>
      </c>
      <c r="C58" t="s">
        <v>42</v>
      </c>
      <c r="E58" t="s">
        <v>58</v>
      </c>
      <c r="F58" t="s">
        <v>29</v>
      </c>
      <c r="G58" t="s">
        <v>30</v>
      </c>
      <c r="H58">
        <v>5</v>
      </c>
      <c r="I58" t="s">
        <v>361</v>
      </c>
    </row>
    <row r="59" spans="1:9" x14ac:dyDescent="0.25">
      <c r="A59" t="s">
        <v>142</v>
      </c>
      <c r="B59" s="2">
        <v>45406</v>
      </c>
      <c r="C59" t="s">
        <v>55</v>
      </c>
      <c r="D59" t="s">
        <v>18</v>
      </c>
      <c r="E59" t="s">
        <v>13</v>
      </c>
      <c r="F59" t="s">
        <v>29</v>
      </c>
      <c r="G59" t="s">
        <v>30</v>
      </c>
      <c r="H59">
        <v>5</v>
      </c>
      <c r="I59" t="s">
        <v>362</v>
      </c>
    </row>
    <row r="60" spans="1:9" x14ac:dyDescent="0.25">
      <c r="A60" t="s">
        <v>143</v>
      </c>
      <c r="B60" s="2">
        <v>45434</v>
      </c>
      <c r="C60" t="s">
        <v>144</v>
      </c>
      <c r="D60" t="s">
        <v>23</v>
      </c>
      <c r="E60" t="s">
        <v>43</v>
      </c>
      <c r="F60" t="s">
        <v>24</v>
      </c>
      <c r="G60" t="s">
        <v>86</v>
      </c>
      <c r="H60">
        <v>14</v>
      </c>
      <c r="I60" t="s">
        <v>363</v>
      </c>
    </row>
    <row r="61" spans="1:9" x14ac:dyDescent="0.25">
      <c r="A61" t="s">
        <v>145</v>
      </c>
      <c r="B61" s="2">
        <v>45351</v>
      </c>
      <c r="C61" t="s">
        <v>135</v>
      </c>
      <c r="D61" t="s">
        <v>18</v>
      </c>
      <c r="E61" t="s">
        <v>43</v>
      </c>
      <c r="F61" t="s">
        <v>29</v>
      </c>
      <c r="G61" t="s">
        <v>76</v>
      </c>
      <c r="H61">
        <v>1</v>
      </c>
      <c r="I61" t="s">
        <v>364</v>
      </c>
    </row>
    <row r="62" spans="1:9" x14ac:dyDescent="0.25">
      <c r="A62" t="s">
        <v>146</v>
      </c>
      <c r="B62" s="2">
        <v>45468</v>
      </c>
      <c r="C62" t="s">
        <v>57</v>
      </c>
      <c r="D62" t="s">
        <v>23</v>
      </c>
      <c r="E62" t="s">
        <v>43</v>
      </c>
      <c r="F62" t="s">
        <v>37</v>
      </c>
      <c r="G62" t="s">
        <v>111</v>
      </c>
      <c r="H62">
        <v>2</v>
      </c>
      <c r="I62" t="s">
        <v>365</v>
      </c>
    </row>
    <row r="63" spans="1:9" x14ac:dyDescent="0.25">
      <c r="A63" t="s">
        <v>147</v>
      </c>
      <c r="B63" s="2">
        <v>45389</v>
      </c>
      <c r="C63" t="s">
        <v>103</v>
      </c>
      <c r="E63" t="s">
        <v>43</v>
      </c>
      <c r="F63" t="s">
        <v>14</v>
      </c>
      <c r="G63" t="s">
        <v>104</v>
      </c>
      <c r="H63">
        <v>9</v>
      </c>
      <c r="I63" t="s">
        <v>366</v>
      </c>
    </row>
    <row r="64" spans="1:9" x14ac:dyDescent="0.25">
      <c r="A64" t="s">
        <v>148</v>
      </c>
      <c r="B64" s="2">
        <v>45643</v>
      </c>
      <c r="C64" t="s">
        <v>149</v>
      </c>
      <c r="D64" t="s">
        <v>12</v>
      </c>
      <c r="E64" t="s">
        <v>58</v>
      </c>
      <c r="F64" t="s">
        <v>33</v>
      </c>
      <c r="G64" t="s">
        <v>89</v>
      </c>
      <c r="H64">
        <v>11</v>
      </c>
      <c r="I64" t="s">
        <v>367</v>
      </c>
    </row>
    <row r="65" spans="1:9" x14ac:dyDescent="0.25">
      <c r="A65" t="s">
        <v>150</v>
      </c>
      <c r="B65" s="2">
        <v>45452</v>
      </c>
      <c r="C65" t="s">
        <v>106</v>
      </c>
      <c r="D65" t="s">
        <v>18</v>
      </c>
      <c r="E65" t="s">
        <v>13</v>
      </c>
      <c r="F65" t="s">
        <v>33</v>
      </c>
      <c r="G65" t="s">
        <v>72</v>
      </c>
      <c r="H65">
        <v>11</v>
      </c>
      <c r="I65" t="s">
        <v>368</v>
      </c>
    </row>
    <row r="66" spans="1:9" x14ac:dyDescent="0.25">
      <c r="A66" t="s">
        <v>151</v>
      </c>
      <c r="B66" s="2">
        <v>45648</v>
      </c>
      <c r="C66" t="s">
        <v>152</v>
      </c>
      <c r="D66" t="s">
        <v>12</v>
      </c>
      <c r="E66" t="s">
        <v>43</v>
      </c>
      <c r="F66" t="s">
        <v>24</v>
      </c>
      <c r="G66" t="s">
        <v>44</v>
      </c>
      <c r="H66">
        <v>7</v>
      </c>
      <c r="I66" t="s">
        <v>369</v>
      </c>
    </row>
    <row r="67" spans="1:9" x14ac:dyDescent="0.25">
      <c r="A67" t="s">
        <v>153</v>
      </c>
      <c r="B67" s="2">
        <v>45638</v>
      </c>
      <c r="C67" t="s">
        <v>27</v>
      </c>
      <c r="D67" t="s">
        <v>18</v>
      </c>
      <c r="E67" t="s">
        <v>58</v>
      </c>
      <c r="F67" t="s">
        <v>154</v>
      </c>
      <c r="G67" t="s">
        <v>121</v>
      </c>
      <c r="H67">
        <v>7</v>
      </c>
      <c r="I67" t="s">
        <v>370</v>
      </c>
    </row>
    <row r="68" spans="1:9" x14ac:dyDescent="0.25">
      <c r="A68" t="s">
        <v>155</v>
      </c>
      <c r="B68" s="2">
        <v>45447</v>
      </c>
      <c r="C68" t="s">
        <v>53</v>
      </c>
      <c r="D68" t="s">
        <v>23</v>
      </c>
      <c r="E68" t="s">
        <v>43</v>
      </c>
      <c r="F68" t="s">
        <v>29</v>
      </c>
      <c r="G68" t="s">
        <v>30</v>
      </c>
      <c r="H68">
        <v>10</v>
      </c>
      <c r="I68" t="s">
        <v>371</v>
      </c>
    </row>
    <row r="69" spans="1:9" x14ac:dyDescent="0.25">
      <c r="A69" t="s">
        <v>156</v>
      </c>
      <c r="B69" s="2">
        <v>45518</v>
      </c>
      <c r="C69" t="s">
        <v>108</v>
      </c>
      <c r="D69" t="s">
        <v>18</v>
      </c>
      <c r="E69" t="s">
        <v>28</v>
      </c>
      <c r="F69" t="s">
        <v>29</v>
      </c>
      <c r="G69" t="s">
        <v>76</v>
      </c>
      <c r="H69">
        <v>13</v>
      </c>
      <c r="I69" t="s">
        <v>372</v>
      </c>
    </row>
    <row r="70" spans="1:9" x14ac:dyDescent="0.25">
      <c r="A70" t="s">
        <v>157</v>
      </c>
      <c r="B70" s="2">
        <v>45378</v>
      </c>
      <c r="C70" t="s">
        <v>118</v>
      </c>
      <c r="D70" t="s">
        <v>23</v>
      </c>
      <c r="E70" t="s">
        <v>13</v>
      </c>
      <c r="F70" t="s">
        <v>50</v>
      </c>
      <c r="G70" t="s">
        <v>72</v>
      </c>
      <c r="H70">
        <v>11</v>
      </c>
      <c r="I70" t="s">
        <v>373</v>
      </c>
    </row>
    <row r="71" spans="1:9" x14ac:dyDescent="0.25">
      <c r="A71" t="s">
        <v>158</v>
      </c>
      <c r="B71" s="2">
        <v>45412</v>
      </c>
      <c r="C71" t="s">
        <v>95</v>
      </c>
      <c r="D71" t="s">
        <v>12</v>
      </c>
      <c r="E71" t="s">
        <v>43</v>
      </c>
      <c r="F71" t="s">
        <v>29</v>
      </c>
      <c r="G71" t="s">
        <v>68</v>
      </c>
      <c r="H71">
        <v>1</v>
      </c>
      <c r="I71" t="s">
        <v>374</v>
      </c>
    </row>
    <row r="72" spans="1:9" x14ac:dyDescent="0.25">
      <c r="A72" t="s">
        <v>159</v>
      </c>
      <c r="B72" s="2">
        <v>45604</v>
      </c>
      <c r="C72" t="s">
        <v>22</v>
      </c>
      <c r="D72" t="s">
        <v>23</v>
      </c>
      <c r="E72" t="s">
        <v>13</v>
      </c>
      <c r="F72" t="s">
        <v>37</v>
      </c>
      <c r="G72" t="s">
        <v>61</v>
      </c>
      <c r="H72">
        <v>10</v>
      </c>
      <c r="I72" t="s">
        <v>375</v>
      </c>
    </row>
    <row r="73" spans="1:9" x14ac:dyDescent="0.25">
      <c r="A73" t="s">
        <v>160</v>
      </c>
      <c r="B73" s="2">
        <v>45488</v>
      </c>
      <c r="C73" t="s">
        <v>161</v>
      </c>
      <c r="D73" t="s">
        <v>12</v>
      </c>
      <c r="E73" t="s">
        <v>28</v>
      </c>
      <c r="F73" t="s">
        <v>37</v>
      </c>
      <c r="G73" t="s">
        <v>162</v>
      </c>
      <c r="H73">
        <v>11</v>
      </c>
      <c r="I73" t="s">
        <v>376</v>
      </c>
    </row>
    <row r="74" spans="1:9" x14ac:dyDescent="0.25">
      <c r="A74" t="s">
        <v>163</v>
      </c>
      <c r="B74" s="2">
        <v>45346</v>
      </c>
      <c r="C74" t="s">
        <v>91</v>
      </c>
      <c r="D74" t="s">
        <v>23</v>
      </c>
      <c r="E74" t="s">
        <v>28</v>
      </c>
      <c r="F74" t="s">
        <v>29</v>
      </c>
      <c r="G74" t="s">
        <v>68</v>
      </c>
      <c r="H74">
        <v>9</v>
      </c>
      <c r="I74" t="s">
        <v>377</v>
      </c>
    </row>
    <row r="75" spans="1:9" x14ac:dyDescent="0.25">
      <c r="A75" t="s">
        <v>164</v>
      </c>
      <c r="B75" s="2">
        <v>45419</v>
      </c>
      <c r="C75" t="s">
        <v>91</v>
      </c>
      <c r="D75" t="s">
        <v>18</v>
      </c>
      <c r="E75" t="s">
        <v>13</v>
      </c>
      <c r="F75" t="s">
        <v>165</v>
      </c>
      <c r="G75" t="s">
        <v>162</v>
      </c>
      <c r="H75">
        <v>11</v>
      </c>
      <c r="I75" t="s">
        <v>378</v>
      </c>
    </row>
    <row r="76" spans="1:9" x14ac:dyDescent="0.25">
      <c r="A76" t="s">
        <v>166</v>
      </c>
      <c r="B76" s="2">
        <v>45596</v>
      </c>
      <c r="C76" t="s">
        <v>91</v>
      </c>
      <c r="D76" t="s">
        <v>23</v>
      </c>
      <c r="E76" t="s">
        <v>43</v>
      </c>
      <c r="F76" t="s">
        <v>37</v>
      </c>
      <c r="G76" t="s">
        <v>111</v>
      </c>
      <c r="H76">
        <v>15</v>
      </c>
      <c r="I76" t="s">
        <v>379</v>
      </c>
    </row>
    <row r="77" spans="1:9" x14ac:dyDescent="0.25">
      <c r="A77" t="s">
        <v>167</v>
      </c>
      <c r="B77" s="2">
        <v>45520</v>
      </c>
      <c r="C77" t="s">
        <v>40</v>
      </c>
      <c r="D77" t="s">
        <v>18</v>
      </c>
      <c r="E77" t="s">
        <v>58</v>
      </c>
      <c r="F77" t="s">
        <v>37</v>
      </c>
      <c r="G77" t="s">
        <v>61</v>
      </c>
      <c r="H77">
        <v>13</v>
      </c>
      <c r="I77" t="s">
        <v>380</v>
      </c>
    </row>
    <row r="78" spans="1:9" x14ac:dyDescent="0.25">
      <c r="A78" t="s">
        <v>168</v>
      </c>
      <c r="B78" s="2">
        <v>45433</v>
      </c>
      <c r="C78" t="s">
        <v>169</v>
      </c>
      <c r="D78" t="s">
        <v>18</v>
      </c>
      <c r="E78" t="s">
        <v>19</v>
      </c>
      <c r="F78" t="s">
        <v>37</v>
      </c>
      <c r="G78" t="s">
        <v>162</v>
      </c>
      <c r="H78">
        <v>8</v>
      </c>
      <c r="I78" t="s">
        <v>381</v>
      </c>
    </row>
    <row r="79" spans="1:9" x14ac:dyDescent="0.25">
      <c r="A79" t="s">
        <v>170</v>
      </c>
      <c r="B79" s="2">
        <v>45412</v>
      </c>
      <c r="C79" t="s">
        <v>42</v>
      </c>
      <c r="D79" t="s">
        <v>23</v>
      </c>
      <c r="E79" t="s">
        <v>43</v>
      </c>
      <c r="F79" t="s">
        <v>33</v>
      </c>
      <c r="G79" t="s">
        <v>34</v>
      </c>
      <c r="H79">
        <v>2</v>
      </c>
      <c r="I79" t="s">
        <v>382</v>
      </c>
    </row>
    <row r="80" spans="1:9" x14ac:dyDescent="0.25">
      <c r="A80" t="s">
        <v>171</v>
      </c>
      <c r="B80" s="2">
        <v>45488</v>
      </c>
      <c r="C80" t="s">
        <v>53</v>
      </c>
      <c r="D80" t="s">
        <v>18</v>
      </c>
      <c r="E80" t="s">
        <v>58</v>
      </c>
      <c r="F80" t="s">
        <v>29</v>
      </c>
      <c r="G80" t="s">
        <v>47</v>
      </c>
      <c r="H80">
        <v>7</v>
      </c>
      <c r="I80" t="s">
        <v>383</v>
      </c>
    </row>
    <row r="81" spans="1:9" x14ac:dyDescent="0.25">
      <c r="A81" t="s">
        <v>172</v>
      </c>
      <c r="B81" s="2">
        <v>45504</v>
      </c>
      <c r="C81" t="s">
        <v>22</v>
      </c>
      <c r="D81" t="s">
        <v>18</v>
      </c>
      <c r="E81" t="s">
        <v>13</v>
      </c>
      <c r="F81" t="s">
        <v>29</v>
      </c>
      <c r="G81" t="s">
        <v>30</v>
      </c>
      <c r="H81">
        <v>15</v>
      </c>
      <c r="I81" t="s">
        <v>384</v>
      </c>
    </row>
    <row r="82" spans="1:9" x14ac:dyDescent="0.25">
      <c r="A82" t="s">
        <v>173</v>
      </c>
      <c r="B82" s="2">
        <v>45302</v>
      </c>
      <c r="C82" t="s">
        <v>152</v>
      </c>
      <c r="D82" t="s">
        <v>12</v>
      </c>
      <c r="E82" t="s">
        <v>19</v>
      </c>
      <c r="F82" t="s">
        <v>37</v>
      </c>
      <c r="G82" t="s">
        <v>61</v>
      </c>
      <c r="H82">
        <v>6</v>
      </c>
      <c r="I82" t="s">
        <v>385</v>
      </c>
    </row>
    <row r="83" spans="1:9" x14ac:dyDescent="0.25">
      <c r="A83" t="s">
        <v>174</v>
      </c>
      <c r="B83" s="2">
        <v>45506</v>
      </c>
      <c r="C83" t="s">
        <v>135</v>
      </c>
      <c r="D83" t="s">
        <v>12</v>
      </c>
      <c r="E83" t="s">
        <v>19</v>
      </c>
      <c r="F83" t="s">
        <v>24</v>
      </c>
      <c r="G83" t="s">
        <v>121</v>
      </c>
      <c r="H83">
        <v>8</v>
      </c>
      <c r="I83" t="s">
        <v>386</v>
      </c>
    </row>
    <row r="84" spans="1:9" x14ac:dyDescent="0.25">
      <c r="A84" t="s">
        <v>175</v>
      </c>
      <c r="B84" s="2">
        <v>45540</v>
      </c>
      <c r="C84" t="s">
        <v>85</v>
      </c>
      <c r="D84" t="s">
        <v>23</v>
      </c>
      <c r="E84" t="s">
        <v>13</v>
      </c>
      <c r="F84" t="s">
        <v>165</v>
      </c>
      <c r="G84" t="s">
        <v>176</v>
      </c>
      <c r="H84">
        <v>11</v>
      </c>
      <c r="I84" t="s">
        <v>387</v>
      </c>
    </row>
    <row r="85" spans="1:9" x14ac:dyDescent="0.25">
      <c r="A85" t="s">
        <v>177</v>
      </c>
      <c r="B85" s="2">
        <v>45376</v>
      </c>
      <c r="C85" t="s">
        <v>63</v>
      </c>
      <c r="D85" t="s">
        <v>23</v>
      </c>
      <c r="E85" t="s">
        <v>28</v>
      </c>
      <c r="F85" t="s">
        <v>29</v>
      </c>
      <c r="G85" t="s">
        <v>76</v>
      </c>
      <c r="H85">
        <v>1</v>
      </c>
      <c r="I85" t="s">
        <v>388</v>
      </c>
    </row>
    <row r="86" spans="1:9" x14ac:dyDescent="0.25">
      <c r="A86" t="s">
        <v>178</v>
      </c>
      <c r="B86" s="2">
        <v>45580</v>
      </c>
      <c r="C86" t="s">
        <v>66</v>
      </c>
      <c r="D86" t="s">
        <v>12</v>
      </c>
      <c r="E86" t="s">
        <v>13</v>
      </c>
      <c r="F86" t="s">
        <v>14</v>
      </c>
      <c r="G86" t="s">
        <v>104</v>
      </c>
      <c r="H86">
        <v>14</v>
      </c>
      <c r="I86" t="s">
        <v>389</v>
      </c>
    </row>
    <row r="87" spans="1:9" x14ac:dyDescent="0.25">
      <c r="A87" t="s">
        <v>179</v>
      </c>
      <c r="B87" s="2">
        <v>45425</v>
      </c>
      <c r="C87" t="s">
        <v>152</v>
      </c>
      <c r="D87" t="s">
        <v>18</v>
      </c>
      <c r="E87" t="s">
        <v>28</v>
      </c>
      <c r="F87" t="s">
        <v>33</v>
      </c>
      <c r="G87" t="s">
        <v>51</v>
      </c>
      <c r="H87">
        <v>6</v>
      </c>
      <c r="I87" t="s">
        <v>390</v>
      </c>
    </row>
    <row r="88" spans="1:9" x14ac:dyDescent="0.25">
      <c r="A88" t="s">
        <v>180</v>
      </c>
      <c r="B88" s="2">
        <v>45434</v>
      </c>
      <c r="C88" t="s">
        <v>66</v>
      </c>
      <c r="D88" t="s">
        <v>18</v>
      </c>
      <c r="E88" t="s">
        <v>28</v>
      </c>
      <c r="F88" t="s">
        <v>50</v>
      </c>
      <c r="G88" t="s">
        <v>74</v>
      </c>
      <c r="H88">
        <v>1</v>
      </c>
      <c r="I88" t="s">
        <v>391</v>
      </c>
    </row>
    <row r="89" spans="1:9" x14ac:dyDescent="0.25">
      <c r="A89" t="s">
        <v>181</v>
      </c>
      <c r="B89" s="2">
        <v>45471</v>
      </c>
      <c r="C89" t="s">
        <v>144</v>
      </c>
      <c r="D89" t="s">
        <v>12</v>
      </c>
      <c r="E89" t="s">
        <v>58</v>
      </c>
      <c r="F89" t="s">
        <v>14</v>
      </c>
      <c r="G89" t="s">
        <v>98</v>
      </c>
      <c r="H89">
        <v>4</v>
      </c>
      <c r="I89" t="s">
        <v>392</v>
      </c>
    </row>
    <row r="90" spans="1:9" x14ac:dyDescent="0.25">
      <c r="A90" t="s">
        <v>182</v>
      </c>
      <c r="B90" s="2">
        <v>45610</v>
      </c>
      <c r="C90" t="s">
        <v>17</v>
      </c>
      <c r="D90" t="s">
        <v>18</v>
      </c>
      <c r="E90" t="s">
        <v>58</v>
      </c>
      <c r="F90" t="s">
        <v>29</v>
      </c>
      <c r="G90" t="s">
        <v>68</v>
      </c>
      <c r="H90">
        <v>11</v>
      </c>
      <c r="I90" t="s">
        <v>393</v>
      </c>
    </row>
    <row r="91" spans="1:9" x14ac:dyDescent="0.25">
      <c r="A91" t="s">
        <v>183</v>
      </c>
      <c r="B91" s="2">
        <v>45530</v>
      </c>
      <c r="C91" t="s">
        <v>184</v>
      </c>
      <c r="D91" t="s">
        <v>23</v>
      </c>
      <c r="E91" t="s">
        <v>43</v>
      </c>
      <c r="F91" t="s">
        <v>33</v>
      </c>
      <c r="G91" t="s">
        <v>51</v>
      </c>
      <c r="H91">
        <v>10</v>
      </c>
      <c r="I91" t="s">
        <v>394</v>
      </c>
    </row>
    <row r="92" spans="1:9" x14ac:dyDescent="0.25">
      <c r="A92" t="s">
        <v>185</v>
      </c>
      <c r="B92" s="2">
        <v>45350</v>
      </c>
      <c r="C92" t="s">
        <v>57</v>
      </c>
      <c r="D92" t="s">
        <v>23</v>
      </c>
      <c r="E92" t="s">
        <v>58</v>
      </c>
      <c r="F92" t="s">
        <v>33</v>
      </c>
      <c r="G92" t="s">
        <v>74</v>
      </c>
      <c r="H92">
        <v>1</v>
      </c>
      <c r="I92" t="s">
        <v>395</v>
      </c>
    </row>
    <row r="93" spans="1:9" x14ac:dyDescent="0.25">
      <c r="A93" t="s">
        <v>186</v>
      </c>
      <c r="B93" s="2">
        <v>45638</v>
      </c>
      <c r="C93" t="s">
        <v>40</v>
      </c>
      <c r="D93" t="s">
        <v>12</v>
      </c>
      <c r="E93" t="s">
        <v>28</v>
      </c>
      <c r="F93" t="s">
        <v>37</v>
      </c>
      <c r="G93" t="s">
        <v>162</v>
      </c>
      <c r="H93">
        <v>10</v>
      </c>
      <c r="I93" t="s">
        <v>396</v>
      </c>
    </row>
    <row r="94" spans="1:9" x14ac:dyDescent="0.25">
      <c r="A94" t="s">
        <v>187</v>
      </c>
      <c r="B94" s="2">
        <v>45416</v>
      </c>
      <c r="C94" t="s">
        <v>108</v>
      </c>
      <c r="D94" t="s">
        <v>12</v>
      </c>
      <c r="E94" t="s">
        <v>13</v>
      </c>
      <c r="F94" t="s">
        <v>33</v>
      </c>
      <c r="G94" t="s">
        <v>72</v>
      </c>
      <c r="H94">
        <v>13</v>
      </c>
      <c r="I94" t="s">
        <v>397</v>
      </c>
    </row>
    <row r="95" spans="1:9" x14ac:dyDescent="0.25">
      <c r="A95" t="s">
        <v>188</v>
      </c>
      <c r="B95" s="2">
        <v>45313</v>
      </c>
      <c r="C95" t="s">
        <v>189</v>
      </c>
      <c r="D95" t="s">
        <v>23</v>
      </c>
      <c r="E95" t="s">
        <v>43</v>
      </c>
      <c r="F95" t="s">
        <v>24</v>
      </c>
      <c r="G95" t="s">
        <v>86</v>
      </c>
      <c r="H95">
        <v>6</v>
      </c>
      <c r="I95" t="s">
        <v>398</v>
      </c>
    </row>
    <row r="96" spans="1:9" x14ac:dyDescent="0.25">
      <c r="A96" t="s">
        <v>190</v>
      </c>
      <c r="B96" s="2">
        <v>45466</v>
      </c>
      <c r="C96" t="s">
        <v>40</v>
      </c>
      <c r="D96" t="s">
        <v>12</v>
      </c>
      <c r="E96" t="s">
        <v>13</v>
      </c>
      <c r="F96" t="s">
        <v>37</v>
      </c>
      <c r="G96" t="s">
        <v>61</v>
      </c>
      <c r="H96">
        <v>7</v>
      </c>
      <c r="I96" t="s">
        <v>399</v>
      </c>
    </row>
    <row r="97" spans="1:9" x14ac:dyDescent="0.25">
      <c r="A97" t="s">
        <v>191</v>
      </c>
      <c r="B97" s="2">
        <v>45527</v>
      </c>
      <c r="C97" t="s">
        <v>101</v>
      </c>
      <c r="D97" t="s">
        <v>23</v>
      </c>
      <c r="E97" t="s">
        <v>58</v>
      </c>
      <c r="F97" t="s">
        <v>165</v>
      </c>
      <c r="G97" t="s">
        <v>162</v>
      </c>
      <c r="H97">
        <v>9</v>
      </c>
      <c r="I97" t="s">
        <v>400</v>
      </c>
    </row>
    <row r="98" spans="1:9" x14ac:dyDescent="0.25">
      <c r="A98" t="s">
        <v>192</v>
      </c>
      <c r="B98" s="2">
        <v>45607</v>
      </c>
      <c r="C98" t="s">
        <v>101</v>
      </c>
      <c r="D98" t="s">
        <v>18</v>
      </c>
      <c r="E98" t="s">
        <v>19</v>
      </c>
      <c r="F98" t="s">
        <v>37</v>
      </c>
      <c r="G98" t="s">
        <v>61</v>
      </c>
      <c r="H98">
        <v>14</v>
      </c>
      <c r="I98" t="s">
        <v>401</v>
      </c>
    </row>
    <row r="99" spans="1:9" x14ac:dyDescent="0.25">
      <c r="A99" t="s">
        <v>193</v>
      </c>
      <c r="B99" s="2">
        <v>45457</v>
      </c>
      <c r="C99" t="s">
        <v>57</v>
      </c>
      <c r="D99" t="s">
        <v>18</v>
      </c>
      <c r="E99" t="s">
        <v>58</v>
      </c>
      <c r="F99" t="s">
        <v>14</v>
      </c>
      <c r="G99" t="s">
        <v>15</v>
      </c>
      <c r="H99">
        <v>4</v>
      </c>
      <c r="I99" t="s">
        <v>402</v>
      </c>
    </row>
    <row r="100" spans="1:9" x14ac:dyDescent="0.25">
      <c r="A100" t="s">
        <v>194</v>
      </c>
      <c r="B100" s="2">
        <v>45604</v>
      </c>
      <c r="C100" t="s">
        <v>80</v>
      </c>
      <c r="D100" t="s">
        <v>18</v>
      </c>
      <c r="E100" t="s">
        <v>28</v>
      </c>
      <c r="F100" t="s">
        <v>33</v>
      </c>
      <c r="G100" t="s">
        <v>74</v>
      </c>
      <c r="H100">
        <v>14</v>
      </c>
      <c r="I100" t="s">
        <v>403</v>
      </c>
    </row>
    <row r="101" spans="1:9" x14ac:dyDescent="0.25">
      <c r="A101" t="s">
        <v>195</v>
      </c>
      <c r="B101" s="2">
        <v>45400</v>
      </c>
      <c r="C101" t="s">
        <v>101</v>
      </c>
      <c r="D101" t="s">
        <v>18</v>
      </c>
      <c r="E101" t="s">
        <v>43</v>
      </c>
      <c r="F101" t="s">
        <v>33</v>
      </c>
      <c r="G101" t="s">
        <v>34</v>
      </c>
      <c r="H101">
        <v>15</v>
      </c>
      <c r="I101" t="s">
        <v>404</v>
      </c>
    </row>
    <row r="102" spans="1:9" x14ac:dyDescent="0.25">
      <c r="A102" t="s">
        <v>196</v>
      </c>
      <c r="B102" s="2">
        <v>45576</v>
      </c>
      <c r="C102" t="s">
        <v>80</v>
      </c>
      <c r="D102" t="s">
        <v>12</v>
      </c>
      <c r="E102" t="s">
        <v>13</v>
      </c>
      <c r="F102" t="s">
        <v>154</v>
      </c>
      <c r="G102" t="s">
        <v>44</v>
      </c>
      <c r="H102">
        <v>4</v>
      </c>
      <c r="I102" t="s">
        <v>405</v>
      </c>
    </row>
    <row r="103" spans="1:9" x14ac:dyDescent="0.25">
      <c r="A103" t="s">
        <v>197</v>
      </c>
      <c r="B103" s="2">
        <v>45576</v>
      </c>
      <c r="C103" t="s">
        <v>169</v>
      </c>
      <c r="D103" t="s">
        <v>18</v>
      </c>
      <c r="E103" t="s">
        <v>58</v>
      </c>
      <c r="F103" t="s">
        <v>37</v>
      </c>
      <c r="G103" t="s">
        <v>61</v>
      </c>
      <c r="H103">
        <v>13</v>
      </c>
      <c r="I103" t="s">
        <v>406</v>
      </c>
    </row>
    <row r="104" spans="1:9" x14ac:dyDescent="0.25">
      <c r="A104" t="s">
        <v>198</v>
      </c>
      <c r="B104" s="2">
        <v>45405</v>
      </c>
      <c r="C104" t="s">
        <v>91</v>
      </c>
      <c r="D104" t="s">
        <v>23</v>
      </c>
      <c r="E104" t="s">
        <v>28</v>
      </c>
      <c r="F104" t="s">
        <v>29</v>
      </c>
      <c r="G104" t="s">
        <v>199</v>
      </c>
      <c r="H104">
        <v>10</v>
      </c>
      <c r="I104" t="s">
        <v>407</v>
      </c>
    </row>
    <row r="105" spans="1:9" x14ac:dyDescent="0.25">
      <c r="A105" t="s">
        <v>200</v>
      </c>
      <c r="B105" s="2">
        <v>45563</v>
      </c>
      <c r="C105" t="s">
        <v>101</v>
      </c>
      <c r="D105" t="s">
        <v>18</v>
      </c>
      <c r="E105" t="s">
        <v>43</v>
      </c>
      <c r="F105" t="s">
        <v>37</v>
      </c>
      <c r="G105" t="s">
        <v>111</v>
      </c>
      <c r="H105">
        <v>6</v>
      </c>
      <c r="I105" t="s">
        <v>408</v>
      </c>
    </row>
    <row r="106" spans="1:9" x14ac:dyDescent="0.25">
      <c r="A106" t="s">
        <v>201</v>
      </c>
      <c r="B106" s="2">
        <v>45448</v>
      </c>
      <c r="C106" t="s">
        <v>202</v>
      </c>
      <c r="D106" t="s">
        <v>23</v>
      </c>
      <c r="E106" t="s">
        <v>43</v>
      </c>
      <c r="F106" t="s">
        <v>29</v>
      </c>
      <c r="G106" t="s">
        <v>47</v>
      </c>
      <c r="H106">
        <v>4</v>
      </c>
      <c r="I106" t="s">
        <v>409</v>
      </c>
    </row>
    <row r="107" spans="1:9" x14ac:dyDescent="0.25">
      <c r="A107" t="s">
        <v>203</v>
      </c>
      <c r="B107" s="2">
        <v>45566</v>
      </c>
      <c r="C107" t="s">
        <v>63</v>
      </c>
      <c r="E107" t="s">
        <v>58</v>
      </c>
      <c r="F107" t="s">
        <v>29</v>
      </c>
      <c r="G107" t="s">
        <v>68</v>
      </c>
      <c r="H107">
        <v>8</v>
      </c>
      <c r="I107" t="s">
        <v>410</v>
      </c>
    </row>
    <row r="108" spans="1:9" x14ac:dyDescent="0.25">
      <c r="A108" t="s">
        <v>204</v>
      </c>
      <c r="B108" s="2">
        <v>45560</v>
      </c>
      <c r="C108" t="s">
        <v>205</v>
      </c>
      <c r="D108" t="s">
        <v>12</v>
      </c>
      <c r="E108" t="s">
        <v>19</v>
      </c>
      <c r="F108" t="s">
        <v>33</v>
      </c>
      <c r="G108" t="s">
        <v>74</v>
      </c>
      <c r="H108">
        <v>5</v>
      </c>
      <c r="I108" t="s">
        <v>411</v>
      </c>
    </row>
    <row r="109" spans="1:9" x14ac:dyDescent="0.25">
      <c r="A109" t="s">
        <v>206</v>
      </c>
      <c r="B109" s="2">
        <v>45446</v>
      </c>
      <c r="C109" t="s">
        <v>91</v>
      </c>
      <c r="D109" t="s">
        <v>18</v>
      </c>
      <c r="E109" t="s">
        <v>13</v>
      </c>
      <c r="F109" t="s">
        <v>24</v>
      </c>
      <c r="G109" t="s">
        <v>44</v>
      </c>
      <c r="H109">
        <v>1</v>
      </c>
      <c r="I109" t="s">
        <v>412</v>
      </c>
    </row>
    <row r="110" spans="1:9" x14ac:dyDescent="0.25">
      <c r="A110" t="s">
        <v>207</v>
      </c>
      <c r="B110" s="2">
        <v>45441</v>
      </c>
      <c r="C110" t="s">
        <v>95</v>
      </c>
      <c r="D110" t="s">
        <v>12</v>
      </c>
      <c r="E110" t="s">
        <v>58</v>
      </c>
      <c r="F110" t="s">
        <v>37</v>
      </c>
      <c r="G110" t="s">
        <v>38</v>
      </c>
      <c r="H110">
        <v>10</v>
      </c>
      <c r="I110" t="s">
        <v>413</v>
      </c>
    </row>
    <row r="111" spans="1:9" x14ac:dyDescent="0.25">
      <c r="A111" t="s">
        <v>208</v>
      </c>
      <c r="B111" s="2">
        <v>45517</v>
      </c>
      <c r="C111" t="s">
        <v>124</v>
      </c>
      <c r="D111" t="s">
        <v>18</v>
      </c>
      <c r="E111" t="s">
        <v>43</v>
      </c>
      <c r="F111" t="s">
        <v>29</v>
      </c>
      <c r="G111" t="s">
        <v>47</v>
      </c>
      <c r="H111">
        <v>14</v>
      </c>
      <c r="I111" t="s">
        <v>414</v>
      </c>
    </row>
    <row r="112" spans="1:9" x14ac:dyDescent="0.25">
      <c r="A112" t="s">
        <v>209</v>
      </c>
      <c r="B112" s="2">
        <v>45497</v>
      </c>
      <c r="C112" t="s">
        <v>210</v>
      </c>
      <c r="D112" t="s">
        <v>23</v>
      </c>
      <c r="E112" t="s">
        <v>28</v>
      </c>
      <c r="F112" t="s">
        <v>14</v>
      </c>
      <c r="G112" t="s">
        <v>20</v>
      </c>
      <c r="H112">
        <v>11</v>
      </c>
      <c r="I112" t="s">
        <v>415</v>
      </c>
    </row>
    <row r="113" spans="1:9" x14ac:dyDescent="0.25">
      <c r="A113" t="s">
        <v>211</v>
      </c>
      <c r="B113" s="2">
        <v>45580</v>
      </c>
      <c r="C113" t="s">
        <v>70</v>
      </c>
      <c r="D113" t="s">
        <v>12</v>
      </c>
      <c r="E113" t="s">
        <v>43</v>
      </c>
      <c r="F113" t="s">
        <v>14</v>
      </c>
      <c r="G113" t="s">
        <v>81</v>
      </c>
      <c r="H113">
        <v>9</v>
      </c>
      <c r="I113" t="s">
        <v>416</v>
      </c>
    </row>
    <row r="114" spans="1:9" x14ac:dyDescent="0.25">
      <c r="A114" t="s">
        <v>212</v>
      </c>
      <c r="B114" s="2">
        <v>45597</v>
      </c>
      <c r="C114" t="s">
        <v>127</v>
      </c>
      <c r="D114" t="s">
        <v>18</v>
      </c>
      <c r="E114" t="s">
        <v>19</v>
      </c>
      <c r="F114" t="s">
        <v>29</v>
      </c>
      <c r="G114" t="s">
        <v>76</v>
      </c>
      <c r="H114">
        <v>8</v>
      </c>
      <c r="I114" t="s">
        <v>417</v>
      </c>
    </row>
    <row r="115" spans="1:9" x14ac:dyDescent="0.25">
      <c r="A115" t="s">
        <v>213</v>
      </c>
      <c r="B115" s="2">
        <v>45593</v>
      </c>
      <c r="C115" t="s">
        <v>202</v>
      </c>
      <c r="D115" t="s">
        <v>23</v>
      </c>
      <c r="E115" t="s">
        <v>28</v>
      </c>
      <c r="F115" t="s">
        <v>33</v>
      </c>
      <c r="G115" t="s">
        <v>72</v>
      </c>
      <c r="H115">
        <v>1</v>
      </c>
      <c r="I115" t="s">
        <v>418</v>
      </c>
    </row>
    <row r="116" spans="1:9" x14ac:dyDescent="0.25">
      <c r="A116" t="s">
        <v>214</v>
      </c>
      <c r="B116" s="2">
        <v>45342</v>
      </c>
      <c r="C116" t="s">
        <v>205</v>
      </c>
      <c r="D116" t="s">
        <v>23</v>
      </c>
      <c r="E116" t="s">
        <v>58</v>
      </c>
      <c r="F116" t="s">
        <v>29</v>
      </c>
      <c r="G116" t="s">
        <v>199</v>
      </c>
      <c r="H116">
        <v>2</v>
      </c>
      <c r="I116" t="s">
        <v>419</v>
      </c>
    </row>
    <row r="117" spans="1:9" x14ac:dyDescent="0.25">
      <c r="A117" t="s">
        <v>215</v>
      </c>
      <c r="B117" s="2">
        <v>45574</v>
      </c>
      <c r="C117" t="s">
        <v>95</v>
      </c>
      <c r="D117" t="s">
        <v>18</v>
      </c>
      <c r="E117" t="s">
        <v>13</v>
      </c>
      <c r="F117" t="s">
        <v>29</v>
      </c>
      <c r="G117" t="s">
        <v>47</v>
      </c>
      <c r="H117">
        <v>8</v>
      </c>
      <c r="I117" t="s">
        <v>420</v>
      </c>
    </row>
    <row r="118" spans="1:9" x14ac:dyDescent="0.25">
      <c r="A118" t="s">
        <v>216</v>
      </c>
      <c r="B118" s="2">
        <v>45441</v>
      </c>
      <c r="C118" t="s">
        <v>53</v>
      </c>
      <c r="D118" t="s">
        <v>23</v>
      </c>
      <c r="E118" t="s">
        <v>13</v>
      </c>
      <c r="F118" t="s">
        <v>29</v>
      </c>
      <c r="G118" t="s">
        <v>199</v>
      </c>
      <c r="H118">
        <v>5</v>
      </c>
      <c r="I118" t="s">
        <v>421</v>
      </c>
    </row>
    <row r="119" spans="1:9" x14ac:dyDescent="0.25">
      <c r="A119" t="s">
        <v>217</v>
      </c>
      <c r="B119" s="2">
        <v>45328</v>
      </c>
      <c r="C119" t="s">
        <v>135</v>
      </c>
      <c r="D119" t="s">
        <v>23</v>
      </c>
      <c r="E119" t="s">
        <v>58</v>
      </c>
      <c r="F119" t="s">
        <v>33</v>
      </c>
      <c r="G119" t="s">
        <v>72</v>
      </c>
      <c r="H119">
        <v>13</v>
      </c>
      <c r="I119" t="s">
        <v>422</v>
      </c>
    </row>
    <row r="120" spans="1:9" x14ac:dyDescent="0.25">
      <c r="A120" t="s">
        <v>218</v>
      </c>
      <c r="B120" s="2">
        <v>45350</v>
      </c>
      <c r="C120" t="s">
        <v>66</v>
      </c>
      <c r="D120" t="s">
        <v>18</v>
      </c>
      <c r="E120" t="s">
        <v>19</v>
      </c>
      <c r="F120" t="s">
        <v>29</v>
      </c>
      <c r="G120" t="s">
        <v>68</v>
      </c>
      <c r="H120">
        <v>14</v>
      </c>
      <c r="I120" t="s">
        <v>423</v>
      </c>
    </row>
    <row r="121" spans="1:9" x14ac:dyDescent="0.25">
      <c r="A121" t="s">
        <v>219</v>
      </c>
      <c r="B121" s="2">
        <v>45376</v>
      </c>
      <c r="C121" t="s">
        <v>22</v>
      </c>
      <c r="D121" t="s">
        <v>18</v>
      </c>
      <c r="E121" t="s">
        <v>43</v>
      </c>
      <c r="F121" t="s">
        <v>24</v>
      </c>
      <c r="G121" t="s">
        <v>121</v>
      </c>
      <c r="H121">
        <v>8</v>
      </c>
      <c r="I121" t="s">
        <v>424</v>
      </c>
    </row>
    <row r="122" spans="1:9" x14ac:dyDescent="0.25">
      <c r="A122" t="s">
        <v>220</v>
      </c>
      <c r="B122" s="2">
        <v>45447</v>
      </c>
      <c r="C122" t="s">
        <v>70</v>
      </c>
      <c r="E122" t="s">
        <v>28</v>
      </c>
      <c r="F122" t="s">
        <v>33</v>
      </c>
      <c r="G122" t="s">
        <v>72</v>
      </c>
      <c r="H122">
        <v>8</v>
      </c>
      <c r="I122" t="s">
        <v>425</v>
      </c>
    </row>
    <row r="123" spans="1:9" x14ac:dyDescent="0.25">
      <c r="A123" t="s">
        <v>221</v>
      </c>
      <c r="B123" s="2">
        <v>45312</v>
      </c>
      <c r="C123" t="s">
        <v>49</v>
      </c>
      <c r="D123" t="s">
        <v>18</v>
      </c>
      <c r="E123" t="s">
        <v>28</v>
      </c>
      <c r="F123" t="s">
        <v>33</v>
      </c>
      <c r="G123" t="s">
        <v>72</v>
      </c>
      <c r="H123">
        <v>1</v>
      </c>
      <c r="I123" t="s">
        <v>426</v>
      </c>
    </row>
    <row r="124" spans="1:9" x14ac:dyDescent="0.25">
      <c r="A124" t="s">
        <v>222</v>
      </c>
      <c r="B124" s="2">
        <v>45586</v>
      </c>
      <c r="C124" t="s">
        <v>205</v>
      </c>
      <c r="D124" t="s">
        <v>23</v>
      </c>
      <c r="E124" t="s">
        <v>19</v>
      </c>
      <c r="F124" t="s">
        <v>14</v>
      </c>
      <c r="G124" t="s">
        <v>15</v>
      </c>
      <c r="H124">
        <v>1</v>
      </c>
      <c r="I124" t="s">
        <v>427</v>
      </c>
    </row>
    <row r="125" spans="1:9" x14ac:dyDescent="0.25">
      <c r="A125" t="s">
        <v>223</v>
      </c>
      <c r="B125" s="2">
        <v>45532</v>
      </c>
      <c r="C125" t="s">
        <v>80</v>
      </c>
      <c r="D125" t="s">
        <v>12</v>
      </c>
      <c r="E125" t="s">
        <v>19</v>
      </c>
      <c r="F125" t="s">
        <v>37</v>
      </c>
      <c r="G125" t="s">
        <v>176</v>
      </c>
      <c r="H125">
        <v>10</v>
      </c>
      <c r="I125" t="s">
        <v>428</v>
      </c>
    </row>
    <row r="126" spans="1:9" x14ac:dyDescent="0.25">
      <c r="A126" t="s">
        <v>224</v>
      </c>
      <c r="B126" s="2">
        <v>45338</v>
      </c>
      <c r="C126" t="s">
        <v>83</v>
      </c>
      <c r="D126" t="s">
        <v>18</v>
      </c>
      <c r="E126" t="s">
        <v>28</v>
      </c>
      <c r="F126" t="s">
        <v>33</v>
      </c>
      <c r="G126" t="s">
        <v>89</v>
      </c>
      <c r="H126">
        <v>6</v>
      </c>
      <c r="I126" t="s">
        <v>429</v>
      </c>
    </row>
    <row r="127" spans="1:9" x14ac:dyDescent="0.25">
      <c r="A127" t="s">
        <v>225</v>
      </c>
      <c r="B127" s="2">
        <v>45460</v>
      </c>
      <c r="C127" t="s">
        <v>91</v>
      </c>
      <c r="D127" t="s">
        <v>23</v>
      </c>
      <c r="E127" t="s">
        <v>28</v>
      </c>
      <c r="F127" t="s">
        <v>37</v>
      </c>
      <c r="G127" t="s">
        <v>176</v>
      </c>
      <c r="H127">
        <v>7</v>
      </c>
      <c r="I127" t="s">
        <v>430</v>
      </c>
    </row>
    <row r="128" spans="1:9" x14ac:dyDescent="0.25">
      <c r="A128" t="s">
        <v>226</v>
      </c>
      <c r="B128" s="2">
        <v>45310</v>
      </c>
      <c r="C128" t="s">
        <v>55</v>
      </c>
      <c r="D128" t="s">
        <v>18</v>
      </c>
      <c r="E128" t="s">
        <v>28</v>
      </c>
      <c r="F128" t="s">
        <v>14</v>
      </c>
      <c r="G128" t="s">
        <v>15</v>
      </c>
      <c r="H128">
        <v>6</v>
      </c>
      <c r="I128" t="s">
        <v>431</v>
      </c>
    </row>
    <row r="129" spans="1:9" x14ac:dyDescent="0.25">
      <c r="A129" t="s">
        <v>227</v>
      </c>
      <c r="B129" s="2">
        <v>45498</v>
      </c>
      <c r="C129" t="s">
        <v>88</v>
      </c>
      <c r="D129" t="s">
        <v>18</v>
      </c>
      <c r="E129" t="s">
        <v>19</v>
      </c>
      <c r="F129" t="s">
        <v>14</v>
      </c>
      <c r="G129" t="s">
        <v>20</v>
      </c>
      <c r="H129">
        <v>7</v>
      </c>
      <c r="I129" t="s">
        <v>432</v>
      </c>
    </row>
    <row r="130" spans="1:9" x14ac:dyDescent="0.25">
      <c r="A130" t="s">
        <v>228</v>
      </c>
      <c r="B130" s="2">
        <v>45477</v>
      </c>
      <c r="C130" t="s">
        <v>60</v>
      </c>
      <c r="D130" t="s">
        <v>12</v>
      </c>
      <c r="E130" t="s">
        <v>19</v>
      </c>
      <c r="F130" t="s">
        <v>37</v>
      </c>
      <c r="G130" t="s">
        <v>61</v>
      </c>
      <c r="H130">
        <v>4</v>
      </c>
      <c r="I130" t="s">
        <v>433</v>
      </c>
    </row>
    <row r="131" spans="1:9" x14ac:dyDescent="0.25">
      <c r="A131" t="s">
        <v>229</v>
      </c>
      <c r="B131" s="2">
        <v>45439</v>
      </c>
      <c r="C131" t="s">
        <v>116</v>
      </c>
      <c r="D131" t="s">
        <v>12</v>
      </c>
      <c r="E131" t="s">
        <v>28</v>
      </c>
      <c r="F131" t="s">
        <v>37</v>
      </c>
      <c r="G131" t="s">
        <v>38</v>
      </c>
      <c r="H131">
        <v>11</v>
      </c>
      <c r="I131" t="s">
        <v>434</v>
      </c>
    </row>
    <row r="132" spans="1:9" x14ac:dyDescent="0.25">
      <c r="A132" t="s">
        <v>230</v>
      </c>
      <c r="B132" s="2">
        <v>45655</v>
      </c>
      <c r="C132" t="s">
        <v>42</v>
      </c>
      <c r="D132" t="s">
        <v>12</v>
      </c>
      <c r="E132" t="s">
        <v>58</v>
      </c>
      <c r="F132" t="s">
        <v>33</v>
      </c>
      <c r="G132" t="s">
        <v>72</v>
      </c>
      <c r="H132">
        <v>9</v>
      </c>
      <c r="I132" t="s">
        <v>435</v>
      </c>
    </row>
    <row r="133" spans="1:9" x14ac:dyDescent="0.25">
      <c r="A133" t="s">
        <v>231</v>
      </c>
      <c r="B133" s="2">
        <v>45350</v>
      </c>
      <c r="C133" t="s">
        <v>232</v>
      </c>
      <c r="D133" t="s">
        <v>18</v>
      </c>
      <c r="E133" t="s">
        <v>28</v>
      </c>
      <c r="F133" t="s">
        <v>14</v>
      </c>
      <c r="G133" t="s">
        <v>81</v>
      </c>
      <c r="H133">
        <v>15</v>
      </c>
      <c r="I133" t="s">
        <v>436</v>
      </c>
    </row>
    <row r="134" spans="1:9" x14ac:dyDescent="0.25">
      <c r="A134" t="s">
        <v>233</v>
      </c>
      <c r="B134" s="2">
        <v>45653</v>
      </c>
      <c r="C134" t="s">
        <v>210</v>
      </c>
      <c r="D134" t="s">
        <v>18</v>
      </c>
      <c r="E134" t="s">
        <v>43</v>
      </c>
      <c r="F134" t="s">
        <v>165</v>
      </c>
      <c r="G134" t="s">
        <v>61</v>
      </c>
      <c r="H134">
        <v>4</v>
      </c>
      <c r="I134" t="s">
        <v>437</v>
      </c>
    </row>
    <row r="135" spans="1:9" x14ac:dyDescent="0.25">
      <c r="A135" t="s">
        <v>234</v>
      </c>
      <c r="B135" s="2">
        <v>45488</v>
      </c>
      <c r="C135" t="s">
        <v>124</v>
      </c>
      <c r="D135" t="s">
        <v>23</v>
      </c>
      <c r="E135" t="s">
        <v>58</v>
      </c>
      <c r="F135" t="s">
        <v>24</v>
      </c>
      <c r="G135" t="s">
        <v>121</v>
      </c>
      <c r="H135">
        <v>15</v>
      </c>
      <c r="I135" t="s">
        <v>438</v>
      </c>
    </row>
    <row r="136" spans="1:9" x14ac:dyDescent="0.25">
      <c r="A136" t="s">
        <v>235</v>
      </c>
      <c r="B136" s="2">
        <v>45433</v>
      </c>
      <c r="C136" t="s">
        <v>85</v>
      </c>
      <c r="D136" t="s">
        <v>18</v>
      </c>
      <c r="E136" t="s">
        <v>28</v>
      </c>
      <c r="F136" t="s">
        <v>33</v>
      </c>
      <c r="G136" t="s">
        <v>72</v>
      </c>
      <c r="H136">
        <v>14</v>
      </c>
      <c r="I136" t="s">
        <v>439</v>
      </c>
    </row>
    <row r="137" spans="1:9" x14ac:dyDescent="0.25">
      <c r="A137" t="s">
        <v>236</v>
      </c>
      <c r="B137" s="2">
        <v>45444</v>
      </c>
      <c r="C137" t="s">
        <v>237</v>
      </c>
      <c r="D137" t="s">
        <v>12</v>
      </c>
      <c r="E137" t="s">
        <v>19</v>
      </c>
      <c r="F137" t="s">
        <v>24</v>
      </c>
      <c r="G137" t="s">
        <v>86</v>
      </c>
      <c r="H137">
        <v>8</v>
      </c>
      <c r="I137" t="s">
        <v>440</v>
      </c>
    </row>
    <row r="138" spans="1:9" x14ac:dyDescent="0.25">
      <c r="A138" t="s">
        <v>238</v>
      </c>
      <c r="B138" s="2">
        <v>45462</v>
      </c>
      <c r="C138" t="s">
        <v>110</v>
      </c>
      <c r="D138" t="s">
        <v>18</v>
      </c>
      <c r="E138" t="s">
        <v>19</v>
      </c>
      <c r="F138" t="s">
        <v>24</v>
      </c>
      <c r="G138" t="s">
        <v>86</v>
      </c>
      <c r="H138">
        <v>15</v>
      </c>
      <c r="I138" t="s">
        <v>441</v>
      </c>
    </row>
    <row r="139" spans="1:9" x14ac:dyDescent="0.25">
      <c r="A139" t="s">
        <v>239</v>
      </c>
      <c r="B139" s="2">
        <v>45649</v>
      </c>
      <c r="C139" t="s">
        <v>140</v>
      </c>
      <c r="D139" t="s">
        <v>12</v>
      </c>
      <c r="E139" t="s">
        <v>58</v>
      </c>
      <c r="F139" t="s">
        <v>24</v>
      </c>
      <c r="G139" t="s">
        <v>86</v>
      </c>
      <c r="H139">
        <v>14</v>
      </c>
      <c r="I139" t="s">
        <v>442</v>
      </c>
    </row>
    <row r="140" spans="1:9" x14ac:dyDescent="0.25">
      <c r="A140" t="s">
        <v>240</v>
      </c>
      <c r="B140" s="2">
        <v>45454</v>
      </c>
      <c r="C140" t="s">
        <v>210</v>
      </c>
      <c r="D140" t="s">
        <v>23</v>
      </c>
      <c r="E140" t="s">
        <v>28</v>
      </c>
      <c r="F140" t="s">
        <v>37</v>
      </c>
      <c r="G140" t="s">
        <v>61</v>
      </c>
      <c r="H140">
        <v>13</v>
      </c>
      <c r="I140" t="s">
        <v>443</v>
      </c>
    </row>
    <row r="141" spans="1:9" x14ac:dyDescent="0.25">
      <c r="A141" t="s">
        <v>241</v>
      </c>
      <c r="B141" s="2">
        <v>45545</v>
      </c>
      <c r="C141" t="s">
        <v>242</v>
      </c>
      <c r="D141" t="s">
        <v>23</v>
      </c>
      <c r="E141" t="s">
        <v>13</v>
      </c>
      <c r="F141" t="s">
        <v>29</v>
      </c>
      <c r="G141" t="s">
        <v>76</v>
      </c>
      <c r="H141">
        <v>6</v>
      </c>
      <c r="I141" t="s">
        <v>444</v>
      </c>
    </row>
    <row r="142" spans="1:9" x14ac:dyDescent="0.25">
      <c r="A142" t="s">
        <v>243</v>
      </c>
      <c r="B142" s="2">
        <v>45343</v>
      </c>
      <c r="C142" t="s">
        <v>189</v>
      </c>
      <c r="E142" t="s">
        <v>19</v>
      </c>
      <c r="F142" t="s">
        <v>37</v>
      </c>
      <c r="G142" t="s">
        <v>38</v>
      </c>
      <c r="H142">
        <v>3</v>
      </c>
      <c r="I142" t="s">
        <v>445</v>
      </c>
    </row>
    <row r="143" spans="1:9" x14ac:dyDescent="0.25">
      <c r="A143" t="s">
        <v>244</v>
      </c>
      <c r="B143" s="2">
        <v>45371</v>
      </c>
      <c r="C143" t="s">
        <v>189</v>
      </c>
      <c r="D143" t="s">
        <v>18</v>
      </c>
      <c r="E143" t="s">
        <v>13</v>
      </c>
      <c r="F143" t="s">
        <v>37</v>
      </c>
      <c r="G143" t="s">
        <v>176</v>
      </c>
      <c r="H143">
        <v>10</v>
      </c>
      <c r="I143" t="s">
        <v>446</v>
      </c>
    </row>
    <row r="144" spans="1:9" x14ac:dyDescent="0.25">
      <c r="A144" t="s">
        <v>245</v>
      </c>
      <c r="B144" s="2">
        <v>45333</v>
      </c>
      <c r="C144" t="s">
        <v>161</v>
      </c>
      <c r="D144" t="s">
        <v>18</v>
      </c>
      <c r="E144" t="s">
        <v>43</v>
      </c>
      <c r="F144" t="s">
        <v>24</v>
      </c>
      <c r="G144" t="s">
        <v>86</v>
      </c>
      <c r="H144">
        <v>11</v>
      </c>
      <c r="I144" t="s">
        <v>447</v>
      </c>
    </row>
    <row r="145" spans="1:9" x14ac:dyDescent="0.25">
      <c r="A145" t="s">
        <v>246</v>
      </c>
      <c r="B145" s="2">
        <v>45541</v>
      </c>
      <c r="C145" t="s">
        <v>169</v>
      </c>
      <c r="D145" t="s">
        <v>12</v>
      </c>
      <c r="E145" t="s">
        <v>19</v>
      </c>
      <c r="F145" t="s">
        <v>247</v>
      </c>
      <c r="G145" t="s">
        <v>20</v>
      </c>
      <c r="H145">
        <v>4</v>
      </c>
      <c r="I145" t="s">
        <v>448</v>
      </c>
    </row>
    <row r="146" spans="1:9" x14ac:dyDescent="0.25">
      <c r="A146" t="s">
        <v>248</v>
      </c>
      <c r="B146" s="2">
        <v>45408</v>
      </c>
      <c r="C146" t="s">
        <v>242</v>
      </c>
      <c r="D146" t="s">
        <v>23</v>
      </c>
      <c r="E146" t="s">
        <v>13</v>
      </c>
      <c r="F146" t="s">
        <v>37</v>
      </c>
      <c r="G146" t="s">
        <v>38</v>
      </c>
      <c r="H146">
        <v>12</v>
      </c>
      <c r="I146" t="s">
        <v>449</v>
      </c>
    </row>
    <row r="147" spans="1:9" x14ac:dyDescent="0.25">
      <c r="A147" t="s">
        <v>249</v>
      </c>
      <c r="B147" s="2">
        <v>45377</v>
      </c>
      <c r="C147" t="s">
        <v>237</v>
      </c>
      <c r="D147" t="s">
        <v>18</v>
      </c>
      <c r="E147" t="s">
        <v>43</v>
      </c>
      <c r="F147" t="s">
        <v>14</v>
      </c>
      <c r="G147" t="s">
        <v>98</v>
      </c>
      <c r="H147">
        <v>13</v>
      </c>
      <c r="I147" t="s">
        <v>450</v>
      </c>
    </row>
    <row r="148" spans="1:9" x14ac:dyDescent="0.25">
      <c r="A148" t="s">
        <v>250</v>
      </c>
      <c r="B148" s="2">
        <v>45483</v>
      </c>
      <c r="C148" t="s">
        <v>108</v>
      </c>
      <c r="D148" t="s">
        <v>23</v>
      </c>
      <c r="E148" t="s">
        <v>28</v>
      </c>
      <c r="F148" t="s">
        <v>29</v>
      </c>
      <c r="G148" t="s">
        <v>68</v>
      </c>
      <c r="H148">
        <v>7</v>
      </c>
      <c r="I148" t="s">
        <v>451</v>
      </c>
    </row>
    <row r="149" spans="1:9" x14ac:dyDescent="0.25">
      <c r="A149" t="s">
        <v>251</v>
      </c>
      <c r="B149" s="2">
        <v>45384</v>
      </c>
      <c r="C149" t="s">
        <v>49</v>
      </c>
      <c r="D149" t="s">
        <v>23</v>
      </c>
      <c r="E149" t="s">
        <v>58</v>
      </c>
      <c r="F149" t="s">
        <v>67</v>
      </c>
      <c r="G149" t="s">
        <v>47</v>
      </c>
      <c r="H149">
        <v>14</v>
      </c>
      <c r="I149" t="s">
        <v>360</v>
      </c>
    </row>
    <row r="150" spans="1:9" x14ac:dyDescent="0.25">
      <c r="A150" t="s">
        <v>252</v>
      </c>
      <c r="B150" s="2">
        <v>45415</v>
      </c>
      <c r="C150" t="s">
        <v>53</v>
      </c>
      <c r="D150" t="s">
        <v>12</v>
      </c>
      <c r="E150" t="s">
        <v>28</v>
      </c>
      <c r="F150" t="s">
        <v>24</v>
      </c>
      <c r="G150" t="s">
        <v>44</v>
      </c>
      <c r="H150">
        <v>8</v>
      </c>
      <c r="I150" t="s">
        <v>452</v>
      </c>
    </row>
    <row r="151" spans="1:9" x14ac:dyDescent="0.25">
      <c r="A151" t="s">
        <v>253</v>
      </c>
      <c r="B151" s="2">
        <v>45422</v>
      </c>
      <c r="C151" t="s">
        <v>242</v>
      </c>
      <c r="D151" t="s">
        <v>23</v>
      </c>
      <c r="E151" t="s">
        <v>13</v>
      </c>
      <c r="F151" t="s">
        <v>37</v>
      </c>
      <c r="G151" t="s">
        <v>176</v>
      </c>
      <c r="H151">
        <v>9</v>
      </c>
      <c r="I151" t="s">
        <v>453</v>
      </c>
    </row>
    <row r="152" spans="1:9" x14ac:dyDescent="0.25">
      <c r="A152" t="s">
        <v>254</v>
      </c>
      <c r="B152" s="2">
        <v>45468</v>
      </c>
      <c r="C152" t="s">
        <v>127</v>
      </c>
      <c r="D152" t="s">
        <v>23</v>
      </c>
      <c r="E152" t="s">
        <v>19</v>
      </c>
      <c r="F152" t="s">
        <v>33</v>
      </c>
      <c r="G152" t="s">
        <v>89</v>
      </c>
      <c r="H152">
        <v>5</v>
      </c>
      <c r="I152" t="s">
        <v>454</v>
      </c>
    </row>
    <row r="153" spans="1:9" x14ac:dyDescent="0.25">
      <c r="A153" t="s">
        <v>255</v>
      </c>
      <c r="B153" s="2">
        <v>45393</v>
      </c>
      <c r="C153" t="s">
        <v>57</v>
      </c>
      <c r="D153" t="s">
        <v>12</v>
      </c>
      <c r="E153" t="s">
        <v>28</v>
      </c>
      <c r="F153" t="s">
        <v>37</v>
      </c>
      <c r="G153" t="s">
        <v>38</v>
      </c>
      <c r="H153">
        <v>7</v>
      </c>
      <c r="I153" t="s">
        <v>455</v>
      </c>
    </row>
    <row r="154" spans="1:9" x14ac:dyDescent="0.25">
      <c r="A154" t="s">
        <v>256</v>
      </c>
      <c r="B154" s="2">
        <v>45443</v>
      </c>
      <c r="C154" t="s">
        <v>49</v>
      </c>
      <c r="D154" t="s">
        <v>18</v>
      </c>
      <c r="E154" t="s">
        <v>43</v>
      </c>
      <c r="F154" t="s">
        <v>247</v>
      </c>
      <c r="G154" t="s">
        <v>104</v>
      </c>
      <c r="H154">
        <v>1</v>
      </c>
      <c r="I154" t="s">
        <v>456</v>
      </c>
    </row>
    <row r="155" spans="1:9" x14ac:dyDescent="0.25">
      <c r="A155" t="s">
        <v>257</v>
      </c>
      <c r="B155" s="2">
        <v>45317</v>
      </c>
      <c r="C155" t="s">
        <v>42</v>
      </c>
      <c r="D155" t="s">
        <v>12</v>
      </c>
      <c r="E155" t="s">
        <v>19</v>
      </c>
      <c r="F155" t="s">
        <v>37</v>
      </c>
      <c r="G155" t="s">
        <v>176</v>
      </c>
      <c r="H155">
        <v>10</v>
      </c>
      <c r="I155" t="s">
        <v>457</v>
      </c>
    </row>
    <row r="156" spans="1:9" x14ac:dyDescent="0.25">
      <c r="A156" t="s">
        <v>258</v>
      </c>
      <c r="B156" s="2">
        <v>45617</v>
      </c>
      <c r="C156" t="s">
        <v>120</v>
      </c>
      <c r="D156" t="s">
        <v>23</v>
      </c>
      <c r="E156" t="s">
        <v>58</v>
      </c>
      <c r="F156" t="s">
        <v>24</v>
      </c>
      <c r="G156" t="s">
        <v>64</v>
      </c>
      <c r="H156">
        <v>13</v>
      </c>
      <c r="I156" t="s">
        <v>458</v>
      </c>
    </row>
    <row r="157" spans="1:9" x14ac:dyDescent="0.25">
      <c r="A157" t="s">
        <v>259</v>
      </c>
      <c r="B157" s="2">
        <v>45640</v>
      </c>
      <c r="C157" t="s">
        <v>63</v>
      </c>
      <c r="D157" t="s">
        <v>18</v>
      </c>
      <c r="E157" t="s">
        <v>58</v>
      </c>
      <c r="F157" t="s">
        <v>14</v>
      </c>
      <c r="G157" t="s">
        <v>98</v>
      </c>
      <c r="H157">
        <v>13</v>
      </c>
      <c r="I157" t="s">
        <v>459</v>
      </c>
    </row>
    <row r="158" spans="1:9" x14ac:dyDescent="0.25">
      <c r="A158" t="s">
        <v>260</v>
      </c>
      <c r="B158" s="2">
        <v>45478</v>
      </c>
      <c r="C158" t="s">
        <v>110</v>
      </c>
      <c r="D158" t="s">
        <v>18</v>
      </c>
      <c r="E158" t="s">
        <v>58</v>
      </c>
      <c r="F158" t="s">
        <v>14</v>
      </c>
      <c r="G158" t="s">
        <v>15</v>
      </c>
      <c r="H158">
        <v>12</v>
      </c>
      <c r="I158" t="s">
        <v>460</v>
      </c>
    </row>
    <row r="159" spans="1:9" x14ac:dyDescent="0.25">
      <c r="A159" t="s">
        <v>261</v>
      </c>
      <c r="B159" s="2">
        <v>45359</v>
      </c>
      <c r="C159" t="s">
        <v>83</v>
      </c>
      <c r="D159" t="s">
        <v>23</v>
      </c>
      <c r="E159" t="s">
        <v>19</v>
      </c>
      <c r="F159" t="s">
        <v>33</v>
      </c>
      <c r="G159" t="s">
        <v>72</v>
      </c>
      <c r="H159">
        <v>15</v>
      </c>
      <c r="I159" t="s">
        <v>461</v>
      </c>
    </row>
    <row r="160" spans="1:9" x14ac:dyDescent="0.25">
      <c r="A160" t="s">
        <v>262</v>
      </c>
      <c r="B160" s="2">
        <v>45423</v>
      </c>
      <c r="C160" t="s">
        <v>210</v>
      </c>
      <c r="D160" t="s">
        <v>12</v>
      </c>
      <c r="E160" t="s">
        <v>28</v>
      </c>
      <c r="F160" t="s">
        <v>33</v>
      </c>
      <c r="G160" t="s">
        <v>34</v>
      </c>
      <c r="H160">
        <v>8</v>
      </c>
      <c r="I160" t="s">
        <v>462</v>
      </c>
    </row>
    <row r="161" spans="1:9" x14ac:dyDescent="0.25">
      <c r="A161" t="s">
        <v>263</v>
      </c>
      <c r="B161" s="2">
        <v>45407</v>
      </c>
      <c r="C161" t="s">
        <v>36</v>
      </c>
      <c r="D161" t="s">
        <v>12</v>
      </c>
      <c r="E161" t="s">
        <v>28</v>
      </c>
      <c r="F161" t="s">
        <v>154</v>
      </c>
      <c r="G161" t="s">
        <v>64</v>
      </c>
      <c r="H161">
        <v>13</v>
      </c>
      <c r="I161" t="s">
        <v>463</v>
      </c>
    </row>
    <row r="162" spans="1:9" x14ac:dyDescent="0.25">
      <c r="A162" t="s">
        <v>264</v>
      </c>
      <c r="B162" s="2">
        <v>45566</v>
      </c>
      <c r="C162" t="s">
        <v>63</v>
      </c>
      <c r="D162" t="s">
        <v>23</v>
      </c>
      <c r="E162" t="s">
        <v>13</v>
      </c>
      <c r="F162" t="s">
        <v>37</v>
      </c>
      <c r="G162" t="s">
        <v>176</v>
      </c>
      <c r="H162">
        <v>12</v>
      </c>
      <c r="I162" t="s">
        <v>464</v>
      </c>
    </row>
    <row r="163" spans="1:9" x14ac:dyDescent="0.25">
      <c r="A163" t="s">
        <v>265</v>
      </c>
      <c r="B163" s="2">
        <v>45487</v>
      </c>
      <c r="C163" t="s">
        <v>91</v>
      </c>
      <c r="D163" t="s">
        <v>18</v>
      </c>
      <c r="E163" t="s">
        <v>43</v>
      </c>
      <c r="F163" t="s">
        <v>14</v>
      </c>
      <c r="G163" t="s">
        <v>81</v>
      </c>
      <c r="H163">
        <v>1</v>
      </c>
      <c r="I163" t="s">
        <v>465</v>
      </c>
    </row>
    <row r="164" spans="1:9" x14ac:dyDescent="0.25">
      <c r="A164" t="s">
        <v>266</v>
      </c>
      <c r="B164" s="2">
        <v>45459</v>
      </c>
      <c r="C164" t="s">
        <v>22</v>
      </c>
      <c r="D164" t="s">
        <v>23</v>
      </c>
      <c r="E164" t="s">
        <v>19</v>
      </c>
      <c r="F164" t="s">
        <v>67</v>
      </c>
      <c r="G164" t="s">
        <v>47</v>
      </c>
      <c r="H164">
        <v>14</v>
      </c>
      <c r="I164" t="s">
        <v>466</v>
      </c>
    </row>
    <row r="165" spans="1:9" x14ac:dyDescent="0.25">
      <c r="A165" t="s">
        <v>267</v>
      </c>
      <c r="B165" s="2">
        <v>45446</v>
      </c>
      <c r="C165" t="s">
        <v>80</v>
      </c>
      <c r="D165" t="s">
        <v>12</v>
      </c>
      <c r="E165" t="s">
        <v>28</v>
      </c>
      <c r="F165" t="s">
        <v>14</v>
      </c>
      <c r="G165" t="s">
        <v>81</v>
      </c>
      <c r="H165">
        <v>1</v>
      </c>
      <c r="I165" t="s">
        <v>467</v>
      </c>
    </row>
    <row r="166" spans="1:9" x14ac:dyDescent="0.25">
      <c r="A166" t="s">
        <v>268</v>
      </c>
      <c r="B166" s="2">
        <v>45351</v>
      </c>
      <c r="C166" t="s">
        <v>120</v>
      </c>
      <c r="D166" t="s">
        <v>12</v>
      </c>
      <c r="E166" t="s">
        <v>13</v>
      </c>
      <c r="F166" t="s">
        <v>67</v>
      </c>
      <c r="G166" t="s">
        <v>76</v>
      </c>
      <c r="H166">
        <v>7</v>
      </c>
      <c r="I166" t="s">
        <v>468</v>
      </c>
    </row>
    <row r="167" spans="1:9" x14ac:dyDescent="0.25">
      <c r="A167" t="s">
        <v>269</v>
      </c>
      <c r="B167" s="2">
        <v>45648</v>
      </c>
      <c r="C167" t="s">
        <v>97</v>
      </c>
      <c r="D167" t="s">
        <v>23</v>
      </c>
      <c r="E167" t="s">
        <v>19</v>
      </c>
      <c r="F167" t="s">
        <v>37</v>
      </c>
      <c r="G167" t="s">
        <v>111</v>
      </c>
      <c r="H167">
        <v>12</v>
      </c>
      <c r="I167" t="s">
        <v>469</v>
      </c>
    </row>
    <row r="168" spans="1:9" x14ac:dyDescent="0.25">
      <c r="A168" t="s">
        <v>270</v>
      </c>
      <c r="B168" s="2">
        <v>45627</v>
      </c>
      <c r="C168" t="s">
        <v>46</v>
      </c>
      <c r="D168" t="s">
        <v>18</v>
      </c>
      <c r="E168" t="s">
        <v>13</v>
      </c>
      <c r="F168" t="s">
        <v>37</v>
      </c>
      <c r="G168" t="s">
        <v>111</v>
      </c>
      <c r="H168">
        <v>5</v>
      </c>
      <c r="I168" t="s">
        <v>470</v>
      </c>
    </row>
    <row r="169" spans="1:9" x14ac:dyDescent="0.25">
      <c r="A169" t="s">
        <v>271</v>
      </c>
      <c r="B169" s="2">
        <v>45403</v>
      </c>
      <c r="C169" t="s">
        <v>46</v>
      </c>
      <c r="D169" t="s">
        <v>18</v>
      </c>
      <c r="E169" t="s">
        <v>28</v>
      </c>
      <c r="F169" t="s">
        <v>37</v>
      </c>
      <c r="G169" t="s">
        <v>162</v>
      </c>
      <c r="H169">
        <v>2</v>
      </c>
      <c r="I169" t="s">
        <v>471</v>
      </c>
    </row>
    <row r="170" spans="1:9" x14ac:dyDescent="0.25">
      <c r="A170" t="s">
        <v>272</v>
      </c>
      <c r="B170" s="2">
        <v>45570</v>
      </c>
      <c r="C170" t="s">
        <v>53</v>
      </c>
      <c r="D170" t="s">
        <v>18</v>
      </c>
      <c r="E170" t="s">
        <v>43</v>
      </c>
      <c r="F170" t="s">
        <v>14</v>
      </c>
      <c r="G170" t="s">
        <v>104</v>
      </c>
      <c r="H170">
        <v>4</v>
      </c>
      <c r="I170" t="s">
        <v>472</v>
      </c>
    </row>
    <row r="171" spans="1:9" x14ac:dyDescent="0.25">
      <c r="A171" t="s">
        <v>273</v>
      </c>
      <c r="B171" s="2">
        <v>45338</v>
      </c>
      <c r="C171" t="s">
        <v>60</v>
      </c>
      <c r="D171" t="s">
        <v>12</v>
      </c>
      <c r="E171" t="s">
        <v>58</v>
      </c>
      <c r="F171" t="s">
        <v>24</v>
      </c>
      <c r="G171" t="s">
        <v>25</v>
      </c>
      <c r="H171">
        <v>13</v>
      </c>
      <c r="I171" t="s">
        <v>473</v>
      </c>
    </row>
    <row r="172" spans="1:9" x14ac:dyDescent="0.25">
      <c r="A172" t="s">
        <v>274</v>
      </c>
      <c r="B172" s="2">
        <v>45581</v>
      </c>
      <c r="C172" t="s">
        <v>42</v>
      </c>
      <c r="D172" t="s">
        <v>12</v>
      </c>
      <c r="E172" t="s">
        <v>58</v>
      </c>
      <c r="F172" t="s">
        <v>14</v>
      </c>
      <c r="G172" t="s">
        <v>20</v>
      </c>
      <c r="H172">
        <v>10</v>
      </c>
      <c r="I172" t="s">
        <v>474</v>
      </c>
    </row>
    <row r="173" spans="1:9" x14ac:dyDescent="0.25">
      <c r="A173" t="s">
        <v>275</v>
      </c>
      <c r="B173" s="2">
        <v>45460</v>
      </c>
      <c r="C173" t="s">
        <v>60</v>
      </c>
      <c r="D173" t="s">
        <v>18</v>
      </c>
      <c r="E173" t="s">
        <v>58</v>
      </c>
      <c r="F173" t="s">
        <v>24</v>
      </c>
      <c r="G173" t="s">
        <v>25</v>
      </c>
      <c r="H173">
        <v>14</v>
      </c>
      <c r="I173" t="s">
        <v>475</v>
      </c>
    </row>
    <row r="174" spans="1:9" x14ac:dyDescent="0.25">
      <c r="A174" t="s">
        <v>276</v>
      </c>
      <c r="B174" s="2">
        <v>45568</v>
      </c>
      <c r="C174" t="s">
        <v>27</v>
      </c>
      <c r="D174" t="s">
        <v>23</v>
      </c>
      <c r="E174" t="s">
        <v>43</v>
      </c>
      <c r="F174" t="s">
        <v>29</v>
      </c>
      <c r="G174" t="s">
        <v>47</v>
      </c>
      <c r="H174">
        <v>14</v>
      </c>
      <c r="I174" t="s">
        <v>476</v>
      </c>
    </row>
    <row r="175" spans="1:9" x14ac:dyDescent="0.25">
      <c r="A175" t="s">
        <v>277</v>
      </c>
      <c r="B175" s="2">
        <v>45475</v>
      </c>
      <c r="C175" t="s">
        <v>60</v>
      </c>
      <c r="D175" t="s">
        <v>12</v>
      </c>
      <c r="E175" t="s">
        <v>58</v>
      </c>
      <c r="F175" t="s">
        <v>24</v>
      </c>
      <c r="G175" t="s">
        <v>64</v>
      </c>
      <c r="H175">
        <v>3</v>
      </c>
      <c r="I175" t="s">
        <v>477</v>
      </c>
    </row>
    <row r="176" spans="1:9" x14ac:dyDescent="0.25">
      <c r="A176" t="s">
        <v>278</v>
      </c>
      <c r="B176" s="2">
        <v>45507</v>
      </c>
      <c r="C176" t="s">
        <v>232</v>
      </c>
      <c r="E176" t="s">
        <v>19</v>
      </c>
      <c r="F176" t="s">
        <v>14</v>
      </c>
      <c r="G176" t="s">
        <v>98</v>
      </c>
      <c r="H176">
        <v>8</v>
      </c>
      <c r="I176" t="s">
        <v>478</v>
      </c>
    </row>
    <row r="177" spans="1:9" x14ac:dyDescent="0.25">
      <c r="A177" t="s">
        <v>279</v>
      </c>
      <c r="B177" s="2">
        <v>45595</v>
      </c>
      <c r="C177" t="s">
        <v>108</v>
      </c>
      <c r="E177" t="s">
        <v>13</v>
      </c>
      <c r="F177" t="s">
        <v>165</v>
      </c>
      <c r="G177" t="s">
        <v>111</v>
      </c>
      <c r="H177">
        <v>10</v>
      </c>
      <c r="I177" t="s">
        <v>479</v>
      </c>
    </row>
    <row r="178" spans="1:9" x14ac:dyDescent="0.25">
      <c r="A178" t="s">
        <v>280</v>
      </c>
      <c r="B178" s="2">
        <v>45629</v>
      </c>
      <c r="C178" t="s">
        <v>95</v>
      </c>
      <c r="E178" t="s">
        <v>19</v>
      </c>
      <c r="F178" t="s">
        <v>33</v>
      </c>
      <c r="G178" t="s">
        <v>89</v>
      </c>
      <c r="H178">
        <v>1</v>
      </c>
      <c r="I178" t="s">
        <v>480</v>
      </c>
    </row>
    <row r="179" spans="1:9" x14ac:dyDescent="0.25">
      <c r="A179" t="s">
        <v>281</v>
      </c>
      <c r="B179" s="2">
        <v>45497</v>
      </c>
      <c r="C179" t="s">
        <v>118</v>
      </c>
      <c r="D179" t="s">
        <v>23</v>
      </c>
      <c r="E179" t="s">
        <v>28</v>
      </c>
      <c r="F179" t="s">
        <v>14</v>
      </c>
      <c r="G179" t="s">
        <v>104</v>
      </c>
      <c r="H179">
        <v>15</v>
      </c>
      <c r="I179" t="s">
        <v>481</v>
      </c>
    </row>
    <row r="180" spans="1:9" x14ac:dyDescent="0.25">
      <c r="A180" t="s">
        <v>282</v>
      </c>
      <c r="B180" s="2">
        <v>45456</v>
      </c>
      <c r="C180" t="s">
        <v>63</v>
      </c>
      <c r="D180" t="s">
        <v>12</v>
      </c>
      <c r="E180" t="s">
        <v>19</v>
      </c>
      <c r="F180" t="s">
        <v>29</v>
      </c>
      <c r="G180" t="s">
        <v>47</v>
      </c>
      <c r="H180">
        <v>5</v>
      </c>
      <c r="I180" t="s">
        <v>482</v>
      </c>
    </row>
    <row r="181" spans="1:9" x14ac:dyDescent="0.25">
      <c r="A181" t="s">
        <v>283</v>
      </c>
      <c r="B181" s="2">
        <v>45572</v>
      </c>
      <c r="C181" t="s">
        <v>70</v>
      </c>
      <c r="D181" t="s">
        <v>23</v>
      </c>
      <c r="E181" t="s">
        <v>43</v>
      </c>
      <c r="F181" t="s">
        <v>37</v>
      </c>
      <c r="G181" t="s">
        <v>111</v>
      </c>
      <c r="H181">
        <v>5</v>
      </c>
      <c r="I181" t="s">
        <v>483</v>
      </c>
    </row>
    <row r="182" spans="1:9" x14ac:dyDescent="0.25">
      <c r="A182" t="s">
        <v>284</v>
      </c>
      <c r="B182" s="2">
        <v>45512</v>
      </c>
      <c r="C182" t="s">
        <v>242</v>
      </c>
      <c r="D182" t="s">
        <v>23</v>
      </c>
      <c r="E182" t="s">
        <v>13</v>
      </c>
      <c r="F182" t="s">
        <v>14</v>
      </c>
      <c r="G182" t="s">
        <v>20</v>
      </c>
      <c r="H182">
        <v>14</v>
      </c>
      <c r="I182" t="s">
        <v>484</v>
      </c>
    </row>
    <row r="183" spans="1:9" x14ac:dyDescent="0.25">
      <c r="A183" t="s">
        <v>285</v>
      </c>
      <c r="B183" s="2">
        <v>45408</v>
      </c>
      <c r="C183" t="s">
        <v>113</v>
      </c>
      <c r="D183" t="s">
        <v>18</v>
      </c>
      <c r="E183" t="s">
        <v>28</v>
      </c>
      <c r="F183" t="s">
        <v>33</v>
      </c>
      <c r="G183" t="s">
        <v>89</v>
      </c>
      <c r="H183">
        <v>7</v>
      </c>
      <c r="I183" t="s">
        <v>485</v>
      </c>
    </row>
    <row r="184" spans="1:9" x14ac:dyDescent="0.25">
      <c r="A184" t="s">
        <v>286</v>
      </c>
      <c r="B184" s="2">
        <v>45510</v>
      </c>
      <c r="C184" t="s">
        <v>124</v>
      </c>
      <c r="D184" t="s">
        <v>12</v>
      </c>
      <c r="E184" t="s">
        <v>43</v>
      </c>
      <c r="F184" t="s">
        <v>50</v>
      </c>
      <c r="G184" t="s">
        <v>34</v>
      </c>
      <c r="H184">
        <v>11</v>
      </c>
      <c r="I184" t="s">
        <v>486</v>
      </c>
    </row>
    <row r="185" spans="1:9" x14ac:dyDescent="0.25">
      <c r="A185" t="s">
        <v>287</v>
      </c>
      <c r="B185" s="2">
        <v>45338</v>
      </c>
      <c r="C185" t="s">
        <v>60</v>
      </c>
      <c r="D185" t="s">
        <v>12</v>
      </c>
      <c r="E185" t="s">
        <v>13</v>
      </c>
      <c r="F185" t="s">
        <v>14</v>
      </c>
      <c r="G185" t="s">
        <v>104</v>
      </c>
      <c r="H185">
        <v>12</v>
      </c>
      <c r="I185" t="s">
        <v>487</v>
      </c>
    </row>
    <row r="186" spans="1:9" x14ac:dyDescent="0.25">
      <c r="A186" t="s">
        <v>288</v>
      </c>
      <c r="B186" s="2">
        <v>45576</v>
      </c>
      <c r="C186" t="s">
        <v>97</v>
      </c>
      <c r="D186" t="s">
        <v>23</v>
      </c>
      <c r="E186" t="s">
        <v>13</v>
      </c>
      <c r="F186" t="s">
        <v>24</v>
      </c>
      <c r="G186" t="s">
        <v>121</v>
      </c>
      <c r="H186">
        <v>6</v>
      </c>
      <c r="I186" t="s">
        <v>488</v>
      </c>
    </row>
    <row r="187" spans="1:9" x14ac:dyDescent="0.25">
      <c r="A187" t="s">
        <v>289</v>
      </c>
      <c r="B187" s="2">
        <v>45473</v>
      </c>
      <c r="C187" t="s">
        <v>57</v>
      </c>
      <c r="D187" t="s">
        <v>23</v>
      </c>
      <c r="E187" t="s">
        <v>28</v>
      </c>
      <c r="F187" t="s">
        <v>14</v>
      </c>
      <c r="G187" t="s">
        <v>15</v>
      </c>
      <c r="H187">
        <v>5</v>
      </c>
      <c r="I187" t="s">
        <v>489</v>
      </c>
    </row>
    <row r="188" spans="1:9" x14ac:dyDescent="0.25">
      <c r="A188" t="s">
        <v>290</v>
      </c>
      <c r="B188" s="2">
        <v>45551</v>
      </c>
      <c r="C188" t="s">
        <v>91</v>
      </c>
      <c r="D188" t="s">
        <v>12</v>
      </c>
      <c r="E188" t="s">
        <v>58</v>
      </c>
      <c r="F188" t="s">
        <v>29</v>
      </c>
      <c r="G188" t="s">
        <v>30</v>
      </c>
      <c r="H188">
        <v>14</v>
      </c>
      <c r="I188" t="s">
        <v>490</v>
      </c>
    </row>
    <row r="189" spans="1:9" x14ac:dyDescent="0.25">
      <c r="A189" t="s">
        <v>291</v>
      </c>
      <c r="B189" s="2">
        <v>45480</v>
      </c>
      <c r="C189" t="s">
        <v>91</v>
      </c>
      <c r="D189" t="s">
        <v>12</v>
      </c>
      <c r="E189" t="s">
        <v>13</v>
      </c>
      <c r="F189" t="s">
        <v>33</v>
      </c>
      <c r="G189" t="s">
        <v>72</v>
      </c>
      <c r="H189">
        <v>13</v>
      </c>
      <c r="I189" t="s">
        <v>491</v>
      </c>
    </row>
    <row r="190" spans="1:9" x14ac:dyDescent="0.25">
      <c r="A190" t="s">
        <v>292</v>
      </c>
      <c r="B190" s="2">
        <v>45610</v>
      </c>
      <c r="C190" t="s">
        <v>22</v>
      </c>
      <c r="D190" t="s">
        <v>23</v>
      </c>
      <c r="E190" t="s">
        <v>19</v>
      </c>
      <c r="F190" t="s">
        <v>24</v>
      </c>
      <c r="G190" t="s">
        <v>25</v>
      </c>
      <c r="H190">
        <v>15</v>
      </c>
      <c r="I190" t="s">
        <v>492</v>
      </c>
    </row>
    <row r="191" spans="1:9" x14ac:dyDescent="0.25">
      <c r="A191" t="s">
        <v>293</v>
      </c>
      <c r="B191" s="2">
        <v>45428</v>
      </c>
      <c r="C191" t="s">
        <v>32</v>
      </c>
      <c r="D191" t="s">
        <v>23</v>
      </c>
      <c r="E191" t="s">
        <v>13</v>
      </c>
      <c r="F191" t="s">
        <v>29</v>
      </c>
      <c r="G191" t="s">
        <v>199</v>
      </c>
      <c r="H191">
        <v>13</v>
      </c>
      <c r="I191" t="s">
        <v>493</v>
      </c>
    </row>
    <row r="192" spans="1:9" x14ac:dyDescent="0.25">
      <c r="A192" t="s">
        <v>294</v>
      </c>
      <c r="B192" s="2">
        <v>45471</v>
      </c>
      <c r="C192" t="s">
        <v>210</v>
      </c>
      <c r="D192" t="s">
        <v>23</v>
      </c>
      <c r="E192" t="s">
        <v>13</v>
      </c>
      <c r="F192" t="s">
        <v>29</v>
      </c>
      <c r="G192" t="s">
        <v>68</v>
      </c>
      <c r="H192">
        <v>11</v>
      </c>
      <c r="I192" t="s">
        <v>494</v>
      </c>
    </row>
    <row r="193" spans="1:9" x14ac:dyDescent="0.25">
      <c r="A193" t="s">
        <v>295</v>
      </c>
      <c r="B193" s="2">
        <v>45616</v>
      </c>
      <c r="C193" t="s">
        <v>32</v>
      </c>
      <c r="D193" t="s">
        <v>12</v>
      </c>
      <c r="E193" t="s">
        <v>13</v>
      </c>
      <c r="F193" t="s">
        <v>247</v>
      </c>
      <c r="G193" t="s">
        <v>20</v>
      </c>
      <c r="H193">
        <v>7</v>
      </c>
      <c r="I193" t="s">
        <v>495</v>
      </c>
    </row>
    <row r="194" spans="1:9" x14ac:dyDescent="0.25">
      <c r="A194" t="s">
        <v>296</v>
      </c>
      <c r="B194" s="2">
        <v>45372</v>
      </c>
      <c r="C194" t="s">
        <v>66</v>
      </c>
      <c r="D194" t="s">
        <v>23</v>
      </c>
      <c r="E194" t="s">
        <v>43</v>
      </c>
      <c r="F194" t="s">
        <v>33</v>
      </c>
      <c r="G194" t="s">
        <v>34</v>
      </c>
      <c r="H194">
        <v>10</v>
      </c>
      <c r="I194" t="s">
        <v>496</v>
      </c>
    </row>
    <row r="195" spans="1:9" x14ac:dyDescent="0.25">
      <c r="A195" t="s">
        <v>297</v>
      </c>
      <c r="B195" s="2">
        <v>45371</v>
      </c>
      <c r="C195" t="s">
        <v>120</v>
      </c>
      <c r="D195" t="s">
        <v>23</v>
      </c>
      <c r="E195" t="s">
        <v>58</v>
      </c>
      <c r="F195" t="s">
        <v>24</v>
      </c>
      <c r="G195" t="s">
        <v>25</v>
      </c>
      <c r="H195">
        <v>2</v>
      </c>
      <c r="I195" t="s">
        <v>497</v>
      </c>
    </row>
    <row r="196" spans="1:9" x14ac:dyDescent="0.25">
      <c r="A196" t="s">
        <v>298</v>
      </c>
      <c r="B196" s="2">
        <v>45509</v>
      </c>
      <c r="C196" t="s">
        <v>232</v>
      </c>
      <c r="D196" t="s">
        <v>18</v>
      </c>
      <c r="E196" t="s">
        <v>28</v>
      </c>
      <c r="F196" t="s">
        <v>24</v>
      </c>
      <c r="G196" t="s">
        <v>86</v>
      </c>
      <c r="H196">
        <v>5</v>
      </c>
      <c r="I196" t="s">
        <v>498</v>
      </c>
    </row>
    <row r="197" spans="1:9" x14ac:dyDescent="0.25">
      <c r="A197" t="s">
        <v>299</v>
      </c>
      <c r="B197" s="2">
        <v>45350</v>
      </c>
      <c r="C197" t="s">
        <v>80</v>
      </c>
      <c r="D197" t="s">
        <v>18</v>
      </c>
      <c r="E197" t="s">
        <v>43</v>
      </c>
      <c r="F197" t="s">
        <v>37</v>
      </c>
      <c r="G197" t="s">
        <v>38</v>
      </c>
      <c r="H197">
        <v>11</v>
      </c>
      <c r="I197" t="s">
        <v>499</v>
      </c>
    </row>
    <row r="198" spans="1:9" x14ac:dyDescent="0.25">
      <c r="A198" t="s">
        <v>300</v>
      </c>
      <c r="B198" s="2">
        <v>45561</v>
      </c>
      <c r="C198" t="s">
        <v>17</v>
      </c>
      <c r="D198" t="s">
        <v>18</v>
      </c>
      <c r="E198" t="s">
        <v>43</v>
      </c>
      <c r="F198" t="s">
        <v>14</v>
      </c>
      <c r="G198" t="s">
        <v>81</v>
      </c>
      <c r="H198">
        <v>10</v>
      </c>
      <c r="I198" t="s">
        <v>500</v>
      </c>
    </row>
    <row r="199" spans="1:9" x14ac:dyDescent="0.25">
      <c r="A199" t="s">
        <v>301</v>
      </c>
      <c r="B199" s="2">
        <v>45446</v>
      </c>
      <c r="C199" t="s">
        <v>80</v>
      </c>
      <c r="D199" t="s">
        <v>18</v>
      </c>
      <c r="E199" t="s">
        <v>58</v>
      </c>
      <c r="F199" t="s">
        <v>29</v>
      </c>
      <c r="G199" t="s">
        <v>199</v>
      </c>
      <c r="H199">
        <v>6</v>
      </c>
      <c r="I199" t="s">
        <v>501</v>
      </c>
    </row>
    <row r="200" spans="1:9" x14ac:dyDescent="0.25">
      <c r="A200" t="s">
        <v>302</v>
      </c>
      <c r="B200" s="2">
        <v>45512</v>
      </c>
      <c r="C200" t="s">
        <v>91</v>
      </c>
      <c r="E200" t="s">
        <v>58</v>
      </c>
      <c r="F200" t="s">
        <v>29</v>
      </c>
      <c r="G200" t="s">
        <v>30</v>
      </c>
      <c r="H200">
        <v>12</v>
      </c>
      <c r="I200" t="s">
        <v>502</v>
      </c>
    </row>
    <row r="201" spans="1:9" x14ac:dyDescent="0.25">
      <c r="A201" t="s">
        <v>303</v>
      </c>
      <c r="B201" s="2">
        <v>45634</v>
      </c>
      <c r="C201" t="s">
        <v>53</v>
      </c>
      <c r="D201" t="s">
        <v>23</v>
      </c>
      <c r="E201" t="s">
        <v>43</v>
      </c>
      <c r="F201" t="s">
        <v>14</v>
      </c>
      <c r="G201" t="s">
        <v>104</v>
      </c>
      <c r="H201">
        <v>1</v>
      </c>
      <c r="I201" t="s">
        <v>503</v>
      </c>
    </row>
    <row r="202" spans="1:9" x14ac:dyDescent="0.25">
      <c r="A202" t="s">
        <v>10</v>
      </c>
      <c r="B202" s="2">
        <v>45619</v>
      </c>
      <c r="C202" t="s">
        <v>11</v>
      </c>
      <c r="D202" t="s">
        <v>12</v>
      </c>
      <c r="E202" t="s">
        <v>13</v>
      </c>
      <c r="F202" t="s">
        <v>14</v>
      </c>
      <c r="G202" t="s">
        <v>15</v>
      </c>
      <c r="H202">
        <v>4</v>
      </c>
      <c r="I202" t="s">
        <v>305</v>
      </c>
    </row>
    <row r="203" spans="1:9" x14ac:dyDescent="0.25">
      <c r="A203" t="s">
        <v>16</v>
      </c>
      <c r="B203" s="2">
        <v>45638</v>
      </c>
      <c r="C203" t="s">
        <v>17</v>
      </c>
      <c r="D203" t="s">
        <v>18</v>
      </c>
      <c r="E203" t="s">
        <v>19</v>
      </c>
      <c r="F203" t="s">
        <v>14</v>
      </c>
      <c r="G203" t="s">
        <v>20</v>
      </c>
      <c r="H203">
        <v>1</v>
      </c>
      <c r="I203" t="s">
        <v>306</v>
      </c>
    </row>
    <row r="204" spans="1:9" x14ac:dyDescent="0.25">
      <c r="A204" t="s">
        <v>21</v>
      </c>
      <c r="B204" s="2">
        <v>45411</v>
      </c>
      <c r="C204" t="s">
        <v>22</v>
      </c>
      <c r="D204" t="s">
        <v>23</v>
      </c>
      <c r="E204" t="s">
        <v>19</v>
      </c>
      <c r="F204" t="s">
        <v>24</v>
      </c>
      <c r="G204" t="s">
        <v>25</v>
      </c>
      <c r="H204">
        <v>4</v>
      </c>
      <c r="I204" t="s">
        <v>307</v>
      </c>
    </row>
    <row r="205" spans="1:9" x14ac:dyDescent="0.25">
      <c r="A205" t="s">
        <v>26</v>
      </c>
      <c r="B205" s="2">
        <v>45571</v>
      </c>
      <c r="C205" t="s">
        <v>27</v>
      </c>
      <c r="D205" t="s">
        <v>23</v>
      </c>
      <c r="E205" t="s">
        <v>28</v>
      </c>
      <c r="F205" t="s">
        <v>29</v>
      </c>
      <c r="G205" t="s">
        <v>30</v>
      </c>
      <c r="H205">
        <v>5</v>
      </c>
      <c r="I205" t="s">
        <v>308</v>
      </c>
    </row>
    <row r="206" spans="1:9" x14ac:dyDescent="0.25">
      <c r="A206" t="s">
        <v>31</v>
      </c>
      <c r="B206" s="2">
        <v>45373</v>
      </c>
      <c r="C206" t="s">
        <v>32</v>
      </c>
      <c r="D206" t="s">
        <v>12</v>
      </c>
      <c r="E206" t="s">
        <v>28</v>
      </c>
      <c r="F206" t="s">
        <v>33</v>
      </c>
      <c r="G206" t="s">
        <v>34</v>
      </c>
      <c r="H206">
        <v>4</v>
      </c>
      <c r="I206" t="s">
        <v>309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A43BE-C24B-41C1-983F-A83AEBB20031}">
  <dimension ref="A1:M11"/>
  <sheetViews>
    <sheetView topLeftCell="G7" workbookViewId="0">
      <selection activeCell="J32" sqref="J32"/>
    </sheetView>
  </sheetViews>
  <sheetFormatPr defaultRowHeight="15" x14ac:dyDescent="0.25"/>
  <cols>
    <col min="1" max="1" width="15.42578125" bestFit="1" customWidth="1"/>
    <col min="2" max="2" width="20" bestFit="1" customWidth="1"/>
    <col min="3" max="3" width="12.140625" bestFit="1" customWidth="1"/>
    <col min="4" max="4" width="20" bestFit="1" customWidth="1"/>
    <col min="5" max="5" width="12.140625" bestFit="1" customWidth="1"/>
    <col min="6" max="6" width="20" bestFit="1" customWidth="1"/>
    <col min="7" max="7" width="12.140625" bestFit="1" customWidth="1"/>
    <col min="8" max="8" width="20" bestFit="1" customWidth="1"/>
    <col min="9" max="9" width="12.140625" bestFit="1" customWidth="1"/>
    <col min="10" max="10" width="20" bestFit="1" customWidth="1"/>
    <col min="11" max="11" width="12.140625" bestFit="1" customWidth="1"/>
    <col min="12" max="12" width="25" bestFit="1" customWidth="1"/>
    <col min="13" max="13" width="17.28515625" bestFit="1" customWidth="1"/>
  </cols>
  <sheetData>
    <row r="1" spans="1:13" x14ac:dyDescent="0.25">
      <c r="A1" s="39" t="s">
        <v>673</v>
      </c>
      <c r="B1" t="s">
        <v>708</v>
      </c>
    </row>
    <row r="3" spans="1:13" x14ac:dyDescent="0.25">
      <c r="B3" s="39" t="s">
        <v>709</v>
      </c>
    </row>
    <row r="4" spans="1:13" x14ac:dyDescent="0.25">
      <c r="B4" t="s">
        <v>669</v>
      </c>
      <c r="D4" t="s">
        <v>43</v>
      </c>
      <c r="F4" t="s">
        <v>13</v>
      </c>
      <c r="H4" t="s">
        <v>58</v>
      </c>
      <c r="J4" t="s">
        <v>28</v>
      </c>
      <c r="L4" t="s">
        <v>711</v>
      </c>
      <c r="M4" t="s">
        <v>712</v>
      </c>
    </row>
    <row r="5" spans="1:13" x14ac:dyDescent="0.25">
      <c r="A5" s="39" t="s">
        <v>706</v>
      </c>
      <c r="B5" t="s">
        <v>710</v>
      </c>
      <c r="C5" t="s">
        <v>713</v>
      </c>
      <c r="D5" t="s">
        <v>710</v>
      </c>
      <c r="E5" t="s">
        <v>713</v>
      </c>
      <c r="F5" t="s">
        <v>710</v>
      </c>
      <c r="G5" t="s">
        <v>713</v>
      </c>
      <c r="H5" t="s">
        <v>710</v>
      </c>
      <c r="I5" t="s">
        <v>713</v>
      </c>
      <c r="J5" t="s">
        <v>710</v>
      </c>
      <c r="K5" t="s">
        <v>713</v>
      </c>
    </row>
    <row r="6" spans="1:13" x14ac:dyDescent="0.25">
      <c r="A6" s="40" t="s">
        <v>29</v>
      </c>
      <c r="B6" s="5">
        <v>23905.419999999995</v>
      </c>
      <c r="C6" s="10">
        <v>18220</v>
      </c>
      <c r="D6" s="5">
        <v>8232.82</v>
      </c>
      <c r="E6" s="10">
        <v>14174</v>
      </c>
      <c r="F6" s="5">
        <v>24391.249999999996</v>
      </c>
      <c r="G6" s="10">
        <v>22272</v>
      </c>
      <c r="H6" s="5">
        <v>11909.22</v>
      </c>
      <c r="I6" s="10">
        <v>22273</v>
      </c>
      <c r="J6" s="5">
        <v>16449.11</v>
      </c>
      <c r="K6" s="10">
        <v>14174</v>
      </c>
      <c r="L6" s="5">
        <v>84887.819999999992</v>
      </c>
      <c r="M6" s="10">
        <v>91113</v>
      </c>
    </row>
    <row r="7" spans="1:13" x14ac:dyDescent="0.25">
      <c r="A7" s="40" t="s">
        <v>14</v>
      </c>
      <c r="B7" s="5">
        <v>10608.640000000001</v>
      </c>
      <c r="C7" s="10">
        <v>16199</v>
      </c>
      <c r="D7" s="5">
        <v>11251.21</v>
      </c>
      <c r="E7" s="10">
        <v>16200</v>
      </c>
      <c r="F7" s="5">
        <v>19359.7</v>
      </c>
      <c r="G7" s="10">
        <v>18223</v>
      </c>
      <c r="H7" s="5">
        <v>10630.849999999999</v>
      </c>
      <c r="I7" s="10">
        <v>20245</v>
      </c>
      <c r="J7" s="5">
        <v>10697.809999999998</v>
      </c>
      <c r="K7" s="10">
        <v>12150</v>
      </c>
      <c r="L7" s="5">
        <v>62548.21</v>
      </c>
      <c r="M7" s="10">
        <v>83017</v>
      </c>
    </row>
    <row r="8" spans="1:13" x14ac:dyDescent="0.25">
      <c r="A8" s="40" t="s">
        <v>33</v>
      </c>
      <c r="B8" s="5">
        <v>7964.1500000000005</v>
      </c>
      <c r="C8" s="10">
        <v>10124</v>
      </c>
      <c r="D8" s="5">
        <v>21359.329999999998</v>
      </c>
      <c r="E8" s="10">
        <v>16198</v>
      </c>
      <c r="F8" s="5">
        <v>22157.75</v>
      </c>
      <c r="G8" s="10">
        <v>14174</v>
      </c>
      <c r="H8" s="5">
        <v>21879.940000000002</v>
      </c>
      <c r="I8" s="10">
        <v>16199</v>
      </c>
      <c r="J8" s="5">
        <v>20732.739999999994</v>
      </c>
      <c r="K8" s="10">
        <v>26324</v>
      </c>
      <c r="L8" s="5">
        <v>94093.909999999989</v>
      </c>
      <c r="M8" s="10">
        <v>83019</v>
      </c>
    </row>
    <row r="9" spans="1:13" x14ac:dyDescent="0.25">
      <c r="A9" s="40" t="s">
        <v>37</v>
      </c>
      <c r="B9" s="5">
        <v>14966.529999999999</v>
      </c>
      <c r="C9" s="10">
        <v>16200</v>
      </c>
      <c r="D9" s="5">
        <v>15229.619999999999</v>
      </c>
      <c r="E9" s="10">
        <v>14174</v>
      </c>
      <c r="F9" s="5">
        <v>28350.29</v>
      </c>
      <c r="G9" s="10">
        <v>22274</v>
      </c>
      <c r="H9" s="5">
        <v>18295.73</v>
      </c>
      <c r="I9" s="10">
        <v>16198</v>
      </c>
      <c r="J9" s="5">
        <v>21923.82</v>
      </c>
      <c r="K9" s="10">
        <v>14175</v>
      </c>
      <c r="L9" s="5">
        <v>98765.989999999991</v>
      </c>
      <c r="M9" s="10">
        <v>83021</v>
      </c>
    </row>
    <row r="10" spans="1:13" x14ac:dyDescent="0.25">
      <c r="A10" s="40" t="s">
        <v>24</v>
      </c>
      <c r="B10" s="5">
        <v>21898.21</v>
      </c>
      <c r="C10" s="10">
        <v>18222</v>
      </c>
      <c r="D10" s="5">
        <v>13586.19</v>
      </c>
      <c r="E10" s="10">
        <v>14173</v>
      </c>
      <c r="F10" s="5">
        <v>12305.11</v>
      </c>
      <c r="G10" s="10">
        <v>14172</v>
      </c>
      <c r="H10" s="5">
        <v>28659.45</v>
      </c>
      <c r="I10" s="10">
        <v>20250</v>
      </c>
      <c r="J10" s="5">
        <v>6363.1299999999992</v>
      </c>
      <c r="K10" s="10">
        <v>8099</v>
      </c>
      <c r="L10" s="5">
        <v>82812.090000000011</v>
      </c>
      <c r="M10" s="10">
        <v>74916</v>
      </c>
    </row>
    <row r="11" spans="1:13" x14ac:dyDescent="0.25">
      <c r="A11" s="40" t="s">
        <v>707</v>
      </c>
      <c r="B11" s="5">
        <v>79342.95</v>
      </c>
      <c r="C11" s="10">
        <v>78965</v>
      </c>
      <c r="D11" s="5">
        <v>69659.17</v>
      </c>
      <c r="E11" s="10">
        <v>74919</v>
      </c>
      <c r="F11" s="5">
        <v>106564.09999999999</v>
      </c>
      <c r="G11" s="10">
        <v>91115</v>
      </c>
      <c r="H11" s="5">
        <v>91375.19</v>
      </c>
      <c r="I11" s="10">
        <v>95165</v>
      </c>
      <c r="J11" s="5">
        <v>76166.609999999986</v>
      </c>
      <c r="K11" s="10">
        <v>74922</v>
      </c>
      <c r="L11" s="5">
        <v>423108.02</v>
      </c>
      <c r="M11" s="10">
        <v>415086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B058F-5378-45B3-B40A-DB58BF8AEF05}">
  <dimension ref="A3:G8"/>
  <sheetViews>
    <sheetView workbookViewId="0">
      <selection activeCell="G16" sqref="G16"/>
    </sheetView>
  </sheetViews>
  <sheetFormatPr defaultRowHeight="15" x14ac:dyDescent="0.25"/>
  <cols>
    <col min="1" max="1" width="19" bestFit="1" customWidth="1"/>
    <col min="2" max="2" width="16.28515625" bestFit="1" customWidth="1"/>
    <col min="3" max="3" width="4.5703125" bestFit="1" customWidth="1"/>
    <col min="4" max="5" width="6.140625" bestFit="1" customWidth="1"/>
    <col min="6" max="6" width="5.7109375" bestFit="1" customWidth="1"/>
    <col min="7" max="7" width="11.28515625" bestFit="1" customWidth="1"/>
  </cols>
  <sheetData>
    <row r="3" spans="1:7" x14ac:dyDescent="0.25">
      <c r="A3" s="39" t="s">
        <v>714</v>
      </c>
      <c r="B3" s="39" t="s">
        <v>709</v>
      </c>
    </row>
    <row r="4" spans="1:7" x14ac:dyDescent="0.25">
      <c r="A4" s="39" t="s">
        <v>706</v>
      </c>
      <c r="B4" t="s">
        <v>669</v>
      </c>
      <c r="C4" t="s">
        <v>43</v>
      </c>
      <c r="D4" t="s">
        <v>13</v>
      </c>
      <c r="E4" t="s">
        <v>58</v>
      </c>
      <c r="F4" t="s">
        <v>28</v>
      </c>
      <c r="G4" t="s">
        <v>707</v>
      </c>
    </row>
    <row r="5" spans="1:7" x14ac:dyDescent="0.25">
      <c r="A5" s="40" t="s">
        <v>12</v>
      </c>
      <c r="B5" s="4">
        <v>6.583333333333333</v>
      </c>
      <c r="C5" s="4">
        <v>7</v>
      </c>
      <c r="D5" s="4">
        <v>9.6363636363636367</v>
      </c>
      <c r="E5" s="4">
        <v>9.5</v>
      </c>
      <c r="F5" s="4">
        <v>7.9</v>
      </c>
      <c r="G5" s="4">
        <v>8.3333333333333339</v>
      </c>
    </row>
    <row r="6" spans="1:7" x14ac:dyDescent="0.25">
      <c r="A6" s="40" t="s">
        <v>18</v>
      </c>
      <c r="B6" s="4">
        <v>10.777777777777779</v>
      </c>
      <c r="C6" s="4">
        <v>8.1333333333333329</v>
      </c>
      <c r="D6" s="4">
        <v>8.1</v>
      </c>
      <c r="E6" s="4">
        <v>9.7692307692307701</v>
      </c>
      <c r="F6" s="4">
        <v>7.5384615384615383</v>
      </c>
      <c r="G6" s="4">
        <v>8.75</v>
      </c>
    </row>
    <row r="7" spans="1:7" x14ac:dyDescent="0.25">
      <c r="A7" s="40" t="s">
        <v>23</v>
      </c>
      <c r="B7" s="4">
        <v>8.625</v>
      </c>
      <c r="C7" s="4">
        <v>7.75</v>
      </c>
      <c r="D7" s="4">
        <v>10</v>
      </c>
      <c r="E7" s="4">
        <v>8.4</v>
      </c>
      <c r="F7" s="4">
        <v>7.6363636363636367</v>
      </c>
      <c r="G7" s="4">
        <v>8.545454545454545</v>
      </c>
    </row>
    <row r="8" spans="1:7" x14ac:dyDescent="0.25">
      <c r="A8" s="40" t="s">
        <v>707</v>
      </c>
      <c r="B8" s="4">
        <v>8.4482758620689662</v>
      </c>
      <c r="C8" s="4">
        <v>7.838709677419355</v>
      </c>
      <c r="D8" s="4">
        <v>9.3428571428571434</v>
      </c>
      <c r="E8" s="4">
        <v>9.2972972972972965</v>
      </c>
      <c r="F8" s="4">
        <v>7.6764705882352944</v>
      </c>
      <c r="G8" s="4">
        <v>8.5542168674698793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97F0D-80C9-4FF7-B49D-D5D9F07F6E90}">
  <dimension ref="A3:B14"/>
  <sheetViews>
    <sheetView workbookViewId="0">
      <selection activeCell="B3" sqref="B3"/>
    </sheetView>
  </sheetViews>
  <sheetFormatPr defaultRowHeight="15" x14ac:dyDescent="0.25"/>
  <cols>
    <col min="1" max="1" width="13.140625" bestFit="1" customWidth="1"/>
    <col min="2" max="2" width="20" bestFit="1" customWidth="1"/>
    <col min="3" max="3" width="12.140625" bestFit="1" customWidth="1"/>
  </cols>
  <sheetData>
    <row r="3" spans="1:2" x14ac:dyDescent="0.25">
      <c r="A3" s="39" t="s">
        <v>706</v>
      </c>
      <c r="B3" t="s">
        <v>710</v>
      </c>
    </row>
    <row r="4" spans="1:2" x14ac:dyDescent="0.25">
      <c r="A4" s="42">
        <v>2024</v>
      </c>
      <c r="B4" s="5">
        <v>63951.779999999984</v>
      </c>
    </row>
    <row r="5" spans="1:2" x14ac:dyDescent="0.25">
      <c r="A5" s="41">
        <v>11</v>
      </c>
      <c r="B5" s="5">
        <v>8909.9399999999987</v>
      </c>
    </row>
    <row r="6" spans="1:2" x14ac:dyDescent="0.25">
      <c r="A6" s="41">
        <v>12</v>
      </c>
      <c r="B6" s="5">
        <v>55041.839999999989</v>
      </c>
    </row>
    <row r="7" spans="1:2" x14ac:dyDescent="0.25">
      <c r="A7" s="42">
        <v>2025</v>
      </c>
      <c r="B7" s="5">
        <v>359156.24</v>
      </c>
    </row>
    <row r="8" spans="1:2" x14ac:dyDescent="0.25">
      <c r="A8" s="41">
        <v>1</v>
      </c>
      <c r="B8" s="5">
        <v>82634.47</v>
      </c>
    </row>
    <row r="9" spans="1:2" x14ac:dyDescent="0.25">
      <c r="A9" s="41">
        <v>2</v>
      </c>
      <c r="B9" s="5">
        <v>65546.170000000013</v>
      </c>
    </row>
    <row r="10" spans="1:2" x14ac:dyDescent="0.25">
      <c r="A10" s="41">
        <v>3</v>
      </c>
      <c r="B10" s="5">
        <v>51335.830000000024</v>
      </c>
    </row>
    <row r="11" spans="1:2" x14ac:dyDescent="0.25">
      <c r="A11" s="41">
        <v>4</v>
      </c>
      <c r="B11" s="5">
        <v>78103.819999999992</v>
      </c>
    </row>
    <row r="12" spans="1:2" x14ac:dyDescent="0.25">
      <c r="A12" s="41">
        <v>5</v>
      </c>
      <c r="B12" s="5">
        <v>64398.97</v>
      </c>
    </row>
    <row r="13" spans="1:2" x14ac:dyDescent="0.25">
      <c r="A13" s="41">
        <v>6</v>
      </c>
      <c r="B13" s="5">
        <v>17136.98</v>
      </c>
    </row>
    <row r="14" spans="1:2" x14ac:dyDescent="0.25">
      <c r="A14" s="42" t="s">
        <v>707</v>
      </c>
      <c r="B14" s="5">
        <v>423108.02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820BB-7258-4A9C-A16D-9D45AF151397}">
  <dimension ref="A3:B9"/>
  <sheetViews>
    <sheetView topLeftCell="A4" workbookViewId="0">
      <selection activeCell="M19" sqref="M19"/>
    </sheetView>
  </sheetViews>
  <sheetFormatPr defaultRowHeight="15" x14ac:dyDescent="0.25"/>
  <cols>
    <col min="1" max="1" width="13.140625" bestFit="1" customWidth="1"/>
    <col min="2" max="2" width="20" bestFit="1" customWidth="1"/>
  </cols>
  <sheetData>
    <row r="3" spans="1:2" x14ac:dyDescent="0.25">
      <c r="A3" s="39" t="s">
        <v>706</v>
      </c>
      <c r="B3" t="s">
        <v>710</v>
      </c>
    </row>
    <row r="4" spans="1:2" x14ac:dyDescent="0.25">
      <c r="A4" s="40" t="s">
        <v>72</v>
      </c>
      <c r="B4" s="5">
        <v>37491.69</v>
      </c>
    </row>
    <row r="5" spans="1:2" x14ac:dyDescent="0.25">
      <c r="A5" s="40" t="s">
        <v>86</v>
      </c>
      <c r="B5" s="5">
        <v>29341.139999999996</v>
      </c>
    </row>
    <row r="6" spans="1:2" x14ac:dyDescent="0.25">
      <c r="A6" s="40" t="s">
        <v>104</v>
      </c>
      <c r="B6" s="5">
        <v>22852.579999999998</v>
      </c>
    </row>
    <row r="7" spans="1:2" x14ac:dyDescent="0.25">
      <c r="A7" s="40" t="s">
        <v>176</v>
      </c>
      <c r="B7" s="5">
        <v>21892.230000000003</v>
      </c>
    </row>
    <row r="8" spans="1:2" x14ac:dyDescent="0.25">
      <c r="A8" s="40" t="s">
        <v>38</v>
      </c>
      <c r="B8" s="5">
        <v>26942.790000000005</v>
      </c>
    </row>
    <row r="9" spans="1:2" x14ac:dyDescent="0.25">
      <c r="A9" s="40" t="s">
        <v>707</v>
      </c>
      <c r="B9" s="5">
        <v>138520.43000000002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7CECD-E2CA-4A0A-A7AD-4B08CE79675A}">
  <dimension ref="A1:W208"/>
  <sheetViews>
    <sheetView tabSelected="1" zoomScaleNormal="100" workbookViewId="0">
      <pane ySplit="2" topLeftCell="A3" activePane="bottomLeft" state="frozen"/>
      <selection pane="bottomLeft" activeCell="G4" sqref="G4"/>
    </sheetView>
  </sheetViews>
  <sheetFormatPr defaultRowHeight="15" x14ac:dyDescent="0.25"/>
  <cols>
    <col min="1" max="1" width="11" customWidth="1"/>
    <col min="2" max="2" width="18.85546875" customWidth="1"/>
    <col min="3" max="3" width="12.5703125" customWidth="1"/>
    <col min="4" max="4" width="11.85546875" customWidth="1"/>
    <col min="5" max="5" width="11" customWidth="1"/>
    <col min="6" max="6" width="15" customWidth="1"/>
    <col min="7" max="7" width="12.85546875" customWidth="1"/>
    <col min="8" max="8" width="11" style="4" customWidth="1"/>
    <col min="9" max="9" width="11" style="5" customWidth="1"/>
    <col min="10" max="10" width="12.5703125" style="5" customWidth="1"/>
    <col min="11" max="11" width="12.140625" style="10" bestFit="1" customWidth="1"/>
    <col min="13" max="13" width="11.85546875" customWidth="1"/>
    <col min="14" max="14" width="15.42578125" style="5" customWidth="1"/>
    <col min="15" max="15" width="20.85546875" style="5" bestFit="1" customWidth="1"/>
    <col min="16" max="16" width="12.140625" bestFit="1" customWidth="1"/>
    <col min="22" max="22" width="34.140625" bestFit="1" customWidth="1"/>
    <col min="23" max="23" width="19.140625" customWidth="1"/>
    <col min="26" max="26" width="8.85546875" customWidth="1"/>
  </cols>
  <sheetData>
    <row r="1" spans="1:23" s="8" customFormat="1" x14ac:dyDescent="0.25">
      <c r="A1" s="6" t="s">
        <v>0</v>
      </c>
      <c r="B1" s="6" t="s">
        <v>1</v>
      </c>
      <c r="C1" s="6" t="s">
        <v>2</v>
      </c>
      <c r="D1" s="6" t="s">
        <v>3</v>
      </c>
      <c r="E1" s="6" t="s">
        <v>4</v>
      </c>
      <c r="F1" s="6" t="s">
        <v>5</v>
      </c>
      <c r="G1" s="6" t="s">
        <v>6</v>
      </c>
      <c r="H1" s="28" t="s">
        <v>7</v>
      </c>
      <c r="I1" s="7" t="s">
        <v>8</v>
      </c>
      <c r="J1" s="7" t="s">
        <v>9</v>
      </c>
      <c r="K1" s="9" t="s">
        <v>673</v>
      </c>
      <c r="L1" s="8" t="s">
        <v>674</v>
      </c>
      <c r="M1" s="8" t="s">
        <v>675</v>
      </c>
      <c r="N1" s="20" t="s">
        <v>697</v>
      </c>
      <c r="O1" s="20" t="s">
        <v>699</v>
      </c>
      <c r="P1" s="8" t="s">
        <v>700</v>
      </c>
    </row>
    <row r="2" spans="1:23" x14ac:dyDescent="0.25">
      <c r="A2" t="s">
        <v>0</v>
      </c>
      <c r="B2" s="3" t="s">
        <v>1</v>
      </c>
      <c r="C2" t="s">
        <v>2</v>
      </c>
      <c r="D2" t="s">
        <v>3</v>
      </c>
      <c r="E2" t="s">
        <v>4</v>
      </c>
      <c r="F2" t="s">
        <v>5</v>
      </c>
      <c r="G2" t="s">
        <v>6</v>
      </c>
      <c r="H2" s="4" t="s">
        <v>7</v>
      </c>
      <c r="I2" s="5" t="s">
        <v>8</v>
      </c>
      <c r="J2" s="5" t="s">
        <v>9</v>
      </c>
      <c r="K2" s="10" t="s">
        <v>673</v>
      </c>
      <c r="L2" t="s">
        <v>674</v>
      </c>
      <c r="M2" t="s">
        <v>675</v>
      </c>
      <c r="N2" s="5" t="s">
        <v>697</v>
      </c>
      <c r="O2" s="5" t="s">
        <v>699</v>
      </c>
      <c r="P2" t="s">
        <v>700</v>
      </c>
      <c r="V2" t="s">
        <v>681</v>
      </c>
    </row>
    <row r="3" spans="1:23" x14ac:dyDescent="0.25">
      <c r="A3" t="s">
        <v>10</v>
      </c>
      <c r="B3" s="3">
        <v>45619</v>
      </c>
      <c r="C3" t="s">
        <v>11</v>
      </c>
      <c r="D3" t="s">
        <v>12</v>
      </c>
      <c r="E3" t="s">
        <v>13</v>
      </c>
      <c r="F3" t="s">
        <v>14</v>
      </c>
      <c r="G3" t="s">
        <v>15</v>
      </c>
      <c r="H3" s="4">
        <v>4</v>
      </c>
      <c r="I3" s="5">
        <v>78.37</v>
      </c>
      <c r="J3" s="5">
        <f>I3*H3</f>
        <v>313.48</v>
      </c>
      <c r="K3" s="10">
        <f>YEAR(Table2[[#This Row],[Order Date]])</f>
        <v>2024</v>
      </c>
      <c r="L3">
        <f>MONTH(Table2[[#This Row],[Order Date]])</f>
        <v>11</v>
      </c>
      <c r="M3">
        <f>WEEKDAY(Table2[[#This Row],[Order Date]])</f>
        <v>7</v>
      </c>
      <c r="N3" s="5">
        <f>VLOOKUP(Table2[[#This Row],[Product]], Product_Lookup!$A$2:$B$26, 2, FALSE)</f>
        <v>146.06</v>
      </c>
      <c r="O3" s="5">
        <f>Table2[[#This Row],[Product Cost(VL)]]*Table2[[#This Row],[Quantity]]</f>
        <v>584.24</v>
      </c>
      <c r="P3" s="5">
        <f>Table2[[#This Row],[Sales Amount]]-Table2[[#This Row],[ PRODUCT COST]]</f>
        <v>-270.76</v>
      </c>
      <c r="V3" s="11" t="s">
        <v>676</v>
      </c>
      <c r="W3" s="12">
        <f>SUM(Table2[Sales Amount])</f>
        <v>423108.0199999999</v>
      </c>
    </row>
    <row r="4" spans="1:23" x14ac:dyDescent="0.25">
      <c r="A4" t="s">
        <v>16</v>
      </c>
      <c r="B4" s="3">
        <v>45620</v>
      </c>
      <c r="C4" t="s">
        <v>133</v>
      </c>
      <c r="D4" t="s">
        <v>18</v>
      </c>
      <c r="E4" t="s">
        <v>669</v>
      </c>
      <c r="F4" t="s">
        <v>14</v>
      </c>
      <c r="G4" t="s">
        <v>20</v>
      </c>
      <c r="H4" s="4">
        <v>1</v>
      </c>
      <c r="I4" s="5">
        <v>78.38</v>
      </c>
      <c r="J4" s="5">
        <f t="shared" ref="J4:J67" si="0">I4*H4</f>
        <v>78.38</v>
      </c>
      <c r="K4" s="10">
        <f>YEAR(Table2[[#This Row],[Order Date]])</f>
        <v>2024</v>
      </c>
      <c r="L4">
        <f>MONTH(Table2[[#This Row],[Order Date]])</f>
        <v>11</v>
      </c>
      <c r="M4">
        <f>WEEKDAY(Table2[[#This Row],[Order Date]])</f>
        <v>1</v>
      </c>
      <c r="N4" s="5">
        <f>VLOOKUP(Table2[[#This Row],[Product]], Product_Lookup!$A$2:$B$26, 2, FALSE)</f>
        <v>178.83</v>
      </c>
      <c r="O4" s="5">
        <f>Table2[[#This Row],[Product Cost(VL)]]*Table2[[#This Row],[Quantity]]</f>
        <v>178.83</v>
      </c>
      <c r="P4" s="5">
        <f>Table2[[#This Row],[Sales Amount]]-Table2[[#This Row],[ PRODUCT COST]]</f>
        <v>-100.45000000000002</v>
      </c>
      <c r="U4" s="8"/>
      <c r="V4" s="13" t="s">
        <v>677</v>
      </c>
      <c r="W4" s="14">
        <f>AVERAGE(Table2[Sales Amount])</f>
        <v>2063.9415609756093</v>
      </c>
    </row>
    <row r="5" spans="1:23" x14ac:dyDescent="0.25">
      <c r="A5" t="s">
        <v>21</v>
      </c>
      <c r="B5" s="3">
        <v>45621</v>
      </c>
      <c r="C5" t="s">
        <v>60</v>
      </c>
      <c r="D5" t="s">
        <v>23</v>
      </c>
      <c r="E5" t="s">
        <v>669</v>
      </c>
      <c r="F5" t="s">
        <v>24</v>
      </c>
      <c r="G5" t="s">
        <v>25</v>
      </c>
      <c r="H5" s="4">
        <v>4</v>
      </c>
      <c r="I5" s="5">
        <v>360.85</v>
      </c>
      <c r="J5" s="5">
        <f t="shared" si="0"/>
        <v>1443.4</v>
      </c>
      <c r="K5" s="10">
        <f>YEAR(Table2[[#This Row],[Order Date]])</f>
        <v>2024</v>
      </c>
      <c r="L5">
        <f>MONTH(Table2[[#This Row],[Order Date]])</f>
        <v>11</v>
      </c>
      <c r="M5">
        <f>WEEKDAY(Table2[[#This Row],[Order Date]])</f>
        <v>2</v>
      </c>
      <c r="N5" s="5">
        <f>VLOOKUP(Table2[[#This Row],[Product]], Product_Lookup!$A$2:$B$26, 2, FALSE)</f>
        <v>88.18</v>
      </c>
      <c r="O5" s="5">
        <f>Table2[[#This Row],[Product Cost(VL)]]*Table2[[#This Row],[Quantity]]</f>
        <v>352.72</v>
      </c>
      <c r="P5" s="5">
        <f>Table2[[#This Row],[Sales Amount]]-Table2[[#This Row],[ PRODUCT COST]]</f>
        <v>1090.68</v>
      </c>
      <c r="V5" s="15" t="s">
        <v>678</v>
      </c>
      <c r="W5" s="16">
        <f ca="1">COUNTA(UNIQUE(Table2[Product]))</f>
        <v>1</v>
      </c>
    </row>
    <row r="6" spans="1:23" x14ac:dyDescent="0.25">
      <c r="A6" t="s">
        <v>26</v>
      </c>
      <c r="B6" s="3">
        <v>45622</v>
      </c>
      <c r="C6" t="s">
        <v>210</v>
      </c>
      <c r="D6" t="s">
        <v>23</v>
      </c>
      <c r="E6" t="s">
        <v>28</v>
      </c>
      <c r="F6" t="s">
        <v>29</v>
      </c>
      <c r="G6" t="s">
        <v>30</v>
      </c>
      <c r="H6" s="4">
        <v>5</v>
      </c>
      <c r="I6" s="5">
        <v>406.62</v>
      </c>
      <c r="J6" s="5">
        <f t="shared" si="0"/>
        <v>2033.1</v>
      </c>
      <c r="K6" s="10">
        <f>YEAR(Table2[[#This Row],[Order Date]])</f>
        <v>2024</v>
      </c>
      <c r="L6">
        <f>MONTH(Table2[[#This Row],[Order Date]])</f>
        <v>11</v>
      </c>
      <c r="M6">
        <f>WEEKDAY(Table2[[#This Row],[Order Date]])</f>
        <v>3</v>
      </c>
      <c r="N6" s="5">
        <f>VLOOKUP(Table2[[#This Row],[Product]], Product_Lookup!$A$2:$B$26, 2, FALSE)</f>
        <v>84.57</v>
      </c>
      <c r="O6" s="5">
        <f>Table2[[#This Row],[Product Cost(VL)]]*Table2[[#This Row],[Quantity]]</f>
        <v>422.84999999999997</v>
      </c>
      <c r="P6" s="5">
        <f>Table2[[#This Row],[Sales Amount]]-Table2[[#This Row],[ PRODUCT COST]]</f>
        <v>1610.25</v>
      </c>
      <c r="V6" s="17" t="s">
        <v>679</v>
      </c>
      <c r="W6" s="18">
        <f>COUNTA(Table2[Order ID])</f>
        <v>205</v>
      </c>
    </row>
    <row r="7" spans="1:23" x14ac:dyDescent="0.25">
      <c r="A7" t="s">
        <v>31</v>
      </c>
      <c r="B7" s="3">
        <v>45623</v>
      </c>
      <c r="C7" t="s">
        <v>83</v>
      </c>
      <c r="D7" t="s">
        <v>12</v>
      </c>
      <c r="E7" t="s">
        <v>28</v>
      </c>
      <c r="F7" t="s">
        <v>33</v>
      </c>
      <c r="G7" t="s">
        <v>34</v>
      </c>
      <c r="H7" s="4">
        <v>4</v>
      </c>
      <c r="I7" s="5">
        <v>479.03</v>
      </c>
      <c r="J7" s="5">
        <f t="shared" si="0"/>
        <v>1916.12</v>
      </c>
      <c r="K7" s="10">
        <f>YEAR(Table2[[#This Row],[Order Date]])</f>
        <v>2024</v>
      </c>
      <c r="L7">
        <f>MONTH(Table2[[#This Row],[Order Date]])</f>
        <v>11</v>
      </c>
      <c r="M7">
        <f>WEEKDAY(Table2[[#This Row],[Order Date]])</f>
        <v>4</v>
      </c>
      <c r="N7" s="5">
        <f>VLOOKUP(Table2[[#This Row],[Product]], Product_Lookup!$A$2:$B$26, 2, FALSE)</f>
        <v>230.34</v>
      </c>
      <c r="O7" s="5">
        <f>Table2[[#This Row],[Product Cost(VL)]]*Table2[[#This Row],[Quantity]]</f>
        <v>921.36</v>
      </c>
      <c r="P7" s="5">
        <f>Table2[[#This Row],[Sales Amount]]-Table2[[#This Row],[ PRODUCT COST]]</f>
        <v>994.75999999999988</v>
      </c>
      <c r="V7" s="11" t="s">
        <v>680</v>
      </c>
      <c r="W7" s="19">
        <f>MEDIAN(Table2[Quantity])</f>
        <v>8</v>
      </c>
    </row>
    <row r="8" spans="1:23" x14ac:dyDescent="0.25">
      <c r="A8" t="s">
        <v>35</v>
      </c>
      <c r="B8" s="3">
        <v>45624</v>
      </c>
      <c r="C8" t="s">
        <v>205</v>
      </c>
      <c r="D8" t="s">
        <v>18</v>
      </c>
      <c r="E8" t="s">
        <v>13</v>
      </c>
      <c r="F8" t="s">
        <v>37</v>
      </c>
      <c r="G8" t="s">
        <v>38</v>
      </c>
      <c r="H8" s="4">
        <v>14</v>
      </c>
      <c r="I8" s="5">
        <v>178.54</v>
      </c>
      <c r="J8" s="5">
        <f t="shared" si="0"/>
        <v>2499.56</v>
      </c>
      <c r="K8" s="10">
        <f>YEAR(Table2[[#This Row],[Order Date]])</f>
        <v>2024</v>
      </c>
      <c r="L8">
        <f>MONTH(Table2[[#This Row],[Order Date]])</f>
        <v>11</v>
      </c>
      <c r="M8">
        <f>WEEKDAY(Table2[[#This Row],[Order Date]])</f>
        <v>5</v>
      </c>
      <c r="N8" s="5">
        <f>VLOOKUP(Table2[[#This Row],[Product]], Product_Lookup!$A$2:$B$26, 2, FALSE)</f>
        <v>64.61</v>
      </c>
      <c r="O8" s="5">
        <f>Table2[[#This Row],[Product Cost(VL)]]*Table2[[#This Row],[Quantity]]</f>
        <v>904.54</v>
      </c>
      <c r="P8" s="5">
        <f>Table2[[#This Row],[Sales Amount]]-Table2[[#This Row],[ PRODUCT COST]]</f>
        <v>1595.02</v>
      </c>
    </row>
    <row r="9" spans="1:23" x14ac:dyDescent="0.25">
      <c r="A9" t="s">
        <v>39</v>
      </c>
      <c r="B9" s="3">
        <v>45625</v>
      </c>
      <c r="C9" t="s">
        <v>110</v>
      </c>
      <c r="D9" t="s">
        <v>18</v>
      </c>
      <c r="E9" t="s">
        <v>28</v>
      </c>
      <c r="F9" t="s">
        <v>24</v>
      </c>
      <c r="G9" t="s">
        <v>25</v>
      </c>
      <c r="H9" s="4">
        <v>2</v>
      </c>
      <c r="I9" s="5">
        <v>280.5</v>
      </c>
      <c r="J9" s="5">
        <f t="shared" si="0"/>
        <v>561</v>
      </c>
      <c r="K9" s="10">
        <f>YEAR(Table2[[#This Row],[Order Date]])</f>
        <v>2024</v>
      </c>
      <c r="L9">
        <f>MONTH(Table2[[#This Row],[Order Date]])</f>
        <v>11</v>
      </c>
      <c r="M9">
        <f>WEEKDAY(Table2[[#This Row],[Order Date]])</f>
        <v>6</v>
      </c>
      <c r="N9" s="5">
        <f>VLOOKUP(Table2[[#This Row],[Product]], Product_Lookup!$A$2:$B$26, 2, FALSE)</f>
        <v>88.18</v>
      </c>
      <c r="O9" s="5">
        <f>Table2[[#This Row],[Product Cost(VL)]]*Table2[[#This Row],[Quantity]]</f>
        <v>176.36</v>
      </c>
      <c r="P9" s="5">
        <f>Table2[[#This Row],[Sales Amount]]-Table2[[#This Row],[ PRODUCT COST]]</f>
        <v>384.64</v>
      </c>
      <c r="V9" s="8"/>
    </row>
    <row r="10" spans="1:23" x14ac:dyDescent="0.25">
      <c r="A10" t="s">
        <v>41</v>
      </c>
      <c r="B10" s="3">
        <v>45626</v>
      </c>
      <c r="C10" t="s">
        <v>17</v>
      </c>
      <c r="D10" t="s">
        <v>23</v>
      </c>
      <c r="E10" t="s">
        <v>43</v>
      </c>
      <c r="F10" t="s">
        <v>24</v>
      </c>
      <c r="G10" t="s">
        <v>44</v>
      </c>
      <c r="H10" s="4">
        <v>2</v>
      </c>
      <c r="I10" s="5">
        <v>32.450000000000003</v>
      </c>
      <c r="J10" s="5">
        <f t="shared" si="0"/>
        <v>64.900000000000006</v>
      </c>
      <c r="K10" s="10">
        <f>YEAR(Table2[[#This Row],[Order Date]])</f>
        <v>2024</v>
      </c>
      <c r="L10">
        <f>MONTH(Table2[[#This Row],[Order Date]])</f>
        <v>11</v>
      </c>
      <c r="M10">
        <f>WEEKDAY(Table2[[#This Row],[Order Date]])</f>
        <v>7</v>
      </c>
      <c r="N10" s="5">
        <f>VLOOKUP(Table2[[#This Row],[Product]], Product_Lookup!$A$2:$B$26, 2, FALSE)</f>
        <v>86.6</v>
      </c>
      <c r="O10" s="5">
        <f>Table2[[#This Row],[Product Cost(VL)]]*Table2[[#This Row],[Quantity]]</f>
        <v>173.2</v>
      </c>
      <c r="P10" s="5">
        <f>Table2[[#This Row],[Sales Amount]]-Table2[[#This Row],[ PRODUCT COST]]</f>
        <v>-108.29999999999998</v>
      </c>
      <c r="V10" s="29" t="s">
        <v>698</v>
      </c>
      <c r="W10" s="30">
        <f>SUM(Table2[[ PRODUCT COST]])</f>
        <v>212207.49000000008</v>
      </c>
    </row>
    <row r="11" spans="1:23" x14ac:dyDescent="0.25">
      <c r="A11" t="s">
        <v>45</v>
      </c>
      <c r="B11" s="3">
        <v>45627</v>
      </c>
      <c r="C11" t="s">
        <v>42</v>
      </c>
      <c r="D11" t="s">
        <v>18</v>
      </c>
      <c r="E11" t="s">
        <v>13</v>
      </c>
      <c r="F11" t="s">
        <v>29</v>
      </c>
      <c r="G11" t="s">
        <v>47</v>
      </c>
      <c r="H11" s="4">
        <v>5</v>
      </c>
      <c r="I11" s="5">
        <v>232.17</v>
      </c>
      <c r="J11" s="5">
        <f t="shared" si="0"/>
        <v>1160.8499999999999</v>
      </c>
      <c r="K11" s="10">
        <f>YEAR(Table2[[#This Row],[Order Date]])</f>
        <v>2024</v>
      </c>
      <c r="L11">
        <f>MONTH(Table2[[#This Row],[Order Date]])</f>
        <v>12</v>
      </c>
      <c r="M11">
        <f>WEEKDAY(Table2[[#This Row],[Order Date]])</f>
        <v>1</v>
      </c>
      <c r="N11" s="5">
        <f>VLOOKUP(Table2[[#This Row],[Product]], Product_Lookup!$A$2:$B$26, 2, FALSE)</f>
        <v>107.34</v>
      </c>
      <c r="O11" s="5">
        <f>Table2[[#This Row],[Product Cost(VL)]]*Table2[[#This Row],[Quantity]]</f>
        <v>536.70000000000005</v>
      </c>
      <c r="P11" s="5">
        <f>Table2[[#This Row],[Sales Amount]]-Table2[[#This Row],[ PRODUCT COST]]</f>
        <v>624.14999999999986</v>
      </c>
      <c r="V11" s="31" t="s">
        <v>700</v>
      </c>
      <c r="W11" s="32">
        <f>W3-W10</f>
        <v>210900.52999999982</v>
      </c>
    </row>
    <row r="12" spans="1:23" x14ac:dyDescent="0.25">
      <c r="A12" t="s">
        <v>48</v>
      </c>
      <c r="B12" s="3">
        <v>45628</v>
      </c>
      <c r="C12" t="s">
        <v>116</v>
      </c>
      <c r="D12" t="s">
        <v>23</v>
      </c>
      <c r="E12" t="s">
        <v>43</v>
      </c>
      <c r="F12" t="s">
        <v>50</v>
      </c>
      <c r="G12" t="s">
        <v>51</v>
      </c>
      <c r="H12" s="4">
        <v>5</v>
      </c>
      <c r="I12" s="5">
        <v>353.89</v>
      </c>
      <c r="J12" s="5">
        <f t="shared" si="0"/>
        <v>1769.4499999999998</v>
      </c>
      <c r="K12" s="10">
        <f>YEAR(Table2[[#This Row],[Order Date]])</f>
        <v>2024</v>
      </c>
      <c r="L12">
        <f>MONTH(Table2[[#This Row],[Order Date]])</f>
        <v>12</v>
      </c>
      <c r="M12">
        <f>WEEKDAY(Table2[[#This Row],[Order Date]])</f>
        <v>2</v>
      </c>
      <c r="N12" s="5">
        <f>VLOOKUP(Table2[[#This Row],[Product]], Product_Lookup!$A$2:$B$26, 2, FALSE)</f>
        <v>208.85</v>
      </c>
      <c r="O12" s="5">
        <f>Table2[[#This Row],[Product Cost(VL)]]*Table2[[#This Row],[Quantity]]</f>
        <v>1044.25</v>
      </c>
      <c r="P12" s="5">
        <f>Table2[[#This Row],[Sales Amount]]-Table2[[#This Row],[ PRODUCT COST]]</f>
        <v>725.19999999999982</v>
      </c>
    </row>
    <row r="13" spans="1:23" x14ac:dyDescent="0.25">
      <c r="A13" t="s">
        <v>52</v>
      </c>
      <c r="B13" s="3">
        <v>45629</v>
      </c>
      <c r="C13" t="s">
        <v>36</v>
      </c>
      <c r="D13" t="s">
        <v>23</v>
      </c>
      <c r="E13" t="s">
        <v>13</v>
      </c>
      <c r="F13" t="s">
        <v>24</v>
      </c>
      <c r="G13" t="s">
        <v>44</v>
      </c>
      <c r="H13" s="4">
        <v>12</v>
      </c>
      <c r="I13" s="5">
        <v>129.96</v>
      </c>
      <c r="J13" s="5">
        <f t="shared" si="0"/>
        <v>1559.52</v>
      </c>
      <c r="K13" s="10">
        <f>YEAR(Table2[[#This Row],[Order Date]])</f>
        <v>2024</v>
      </c>
      <c r="L13">
        <f>MONTH(Table2[[#This Row],[Order Date]])</f>
        <v>12</v>
      </c>
      <c r="M13">
        <f>WEEKDAY(Table2[[#This Row],[Order Date]])</f>
        <v>3</v>
      </c>
      <c r="N13" s="5">
        <f>VLOOKUP(Table2[[#This Row],[Product]], Product_Lookup!$A$2:$B$26, 2, FALSE)</f>
        <v>86.6</v>
      </c>
      <c r="O13" s="5">
        <f>Table2[[#This Row],[Product Cost(VL)]]*Table2[[#This Row],[Quantity]]</f>
        <v>1039.1999999999998</v>
      </c>
      <c r="P13" s="5">
        <f>Table2[[#This Row],[Sales Amount]]-Table2[[#This Row],[ PRODUCT COST]]</f>
        <v>520.32000000000016</v>
      </c>
    </row>
    <row r="14" spans="1:23" x14ac:dyDescent="0.25">
      <c r="A14" t="s">
        <v>54</v>
      </c>
      <c r="B14" s="3">
        <v>45630</v>
      </c>
      <c r="C14" t="s">
        <v>101</v>
      </c>
      <c r="D14" t="s">
        <v>23</v>
      </c>
      <c r="E14" t="s">
        <v>43</v>
      </c>
      <c r="F14" t="s">
        <v>24</v>
      </c>
      <c r="G14" t="s">
        <v>44</v>
      </c>
      <c r="H14" s="4">
        <v>6</v>
      </c>
      <c r="I14" s="5">
        <v>423</v>
      </c>
      <c r="J14" s="5">
        <f t="shared" si="0"/>
        <v>2538</v>
      </c>
      <c r="K14" s="10">
        <f>YEAR(Table2[[#This Row],[Order Date]])</f>
        <v>2024</v>
      </c>
      <c r="L14">
        <f>MONTH(Table2[[#This Row],[Order Date]])</f>
        <v>12</v>
      </c>
      <c r="M14">
        <f>WEEKDAY(Table2[[#This Row],[Order Date]])</f>
        <v>4</v>
      </c>
      <c r="N14" s="5">
        <f>VLOOKUP(Table2[[#This Row],[Product]], Product_Lookup!$A$2:$B$26, 2, FALSE)</f>
        <v>86.6</v>
      </c>
      <c r="O14" s="5">
        <f>Table2[[#This Row],[Product Cost(VL)]]*Table2[[#This Row],[Quantity]]</f>
        <v>519.59999999999991</v>
      </c>
      <c r="P14" s="5">
        <f>Table2[[#This Row],[Sales Amount]]-Table2[[#This Row],[ PRODUCT COST]]</f>
        <v>2018.4</v>
      </c>
      <c r="V14" t="s">
        <v>705</v>
      </c>
    </row>
    <row r="15" spans="1:23" x14ac:dyDescent="0.25">
      <c r="A15" t="s">
        <v>56</v>
      </c>
      <c r="B15" s="3">
        <v>45631</v>
      </c>
      <c r="C15" t="s">
        <v>169</v>
      </c>
      <c r="D15" t="s">
        <v>18</v>
      </c>
      <c r="E15" t="s">
        <v>58</v>
      </c>
      <c r="F15" t="s">
        <v>14</v>
      </c>
      <c r="G15" t="s">
        <v>15</v>
      </c>
      <c r="H15" s="4">
        <v>5</v>
      </c>
      <c r="I15" s="5">
        <v>42.43</v>
      </c>
      <c r="J15" s="5">
        <f t="shared" si="0"/>
        <v>212.15</v>
      </c>
      <c r="K15" s="10">
        <f>YEAR(Table2[[#This Row],[Order Date]])</f>
        <v>2024</v>
      </c>
      <c r="L15">
        <f>MONTH(Table2[[#This Row],[Order Date]])</f>
        <v>12</v>
      </c>
      <c r="M15">
        <f>WEEKDAY(Table2[[#This Row],[Order Date]])</f>
        <v>5</v>
      </c>
      <c r="N15" s="5">
        <f>VLOOKUP(Table2[[#This Row],[Product]], Product_Lookup!$A$2:$B$26, 2, FALSE)</f>
        <v>146.06</v>
      </c>
      <c r="O15" s="5">
        <f>Table2[[#This Row],[Product Cost(VL)]]*Table2[[#This Row],[Quantity]]</f>
        <v>730.3</v>
      </c>
      <c r="P15" s="5">
        <f>Table2[[#This Row],[Sales Amount]]-Table2[[#This Row],[ PRODUCT COST]]</f>
        <v>-518.15</v>
      </c>
      <c r="V15" s="37" t="s">
        <v>701</v>
      </c>
      <c r="W15" s="38">
        <f>SUMIF(F:F,"Electronics",J:J)</f>
        <v>62548.210000000006</v>
      </c>
    </row>
    <row r="16" spans="1:23" x14ac:dyDescent="0.25">
      <c r="A16" t="s">
        <v>59</v>
      </c>
      <c r="B16" s="3">
        <v>45632</v>
      </c>
      <c r="C16" t="s">
        <v>127</v>
      </c>
      <c r="D16" t="s">
        <v>23</v>
      </c>
      <c r="E16" t="s">
        <v>58</v>
      </c>
      <c r="F16" t="s">
        <v>37</v>
      </c>
      <c r="G16" t="s">
        <v>61</v>
      </c>
      <c r="H16" s="4">
        <v>8</v>
      </c>
      <c r="I16" s="5">
        <v>80.010000000000005</v>
      </c>
      <c r="J16" s="5">
        <f t="shared" si="0"/>
        <v>640.08000000000004</v>
      </c>
      <c r="K16" s="10">
        <f>YEAR(Table2[[#This Row],[Order Date]])</f>
        <v>2024</v>
      </c>
      <c r="L16">
        <f>MONTH(Table2[[#This Row],[Order Date]])</f>
        <v>12</v>
      </c>
      <c r="M16">
        <f>WEEKDAY(Table2[[#This Row],[Order Date]])</f>
        <v>6</v>
      </c>
      <c r="N16" s="5">
        <f>VLOOKUP(Table2[[#This Row],[Product]], Product_Lookup!$A$2:$B$26, 2, FALSE)</f>
        <v>101.96</v>
      </c>
      <c r="O16" s="5">
        <f>Table2[[#This Row],[Product Cost(VL)]]*Table2[[#This Row],[Quantity]]</f>
        <v>815.68</v>
      </c>
      <c r="P16" s="5">
        <f>Table2[[#This Row],[Sales Amount]]-Table2[[#This Row],[ PRODUCT COST]]</f>
        <v>-175.59999999999991</v>
      </c>
      <c r="V16" s="33" t="s">
        <v>702</v>
      </c>
      <c r="W16" s="34">
        <f>AVERAGEIF(E:E,"North",J:J)</f>
        <v>2368.09111111111</v>
      </c>
    </row>
    <row r="17" spans="1:23" x14ac:dyDescent="0.25">
      <c r="A17" t="s">
        <v>62</v>
      </c>
      <c r="B17" s="3">
        <v>45633</v>
      </c>
      <c r="C17" t="s">
        <v>113</v>
      </c>
      <c r="D17" t="s">
        <v>23</v>
      </c>
      <c r="E17" t="s">
        <v>669</v>
      </c>
      <c r="F17" t="s">
        <v>24</v>
      </c>
      <c r="G17" t="s">
        <v>64</v>
      </c>
      <c r="H17" s="4">
        <v>10</v>
      </c>
      <c r="I17" s="5">
        <v>219.93</v>
      </c>
      <c r="J17" s="5">
        <f t="shared" si="0"/>
        <v>2199.3000000000002</v>
      </c>
      <c r="K17" s="10">
        <f>YEAR(Table2[[#This Row],[Order Date]])</f>
        <v>2024</v>
      </c>
      <c r="L17">
        <f>MONTH(Table2[[#This Row],[Order Date]])</f>
        <v>12</v>
      </c>
      <c r="M17">
        <f>WEEKDAY(Table2[[#This Row],[Order Date]])</f>
        <v>7</v>
      </c>
      <c r="N17" s="5">
        <f>VLOOKUP(Table2[[#This Row],[Product]], Product_Lookup!$A$2:$B$26, 2, FALSE)</f>
        <v>46.19</v>
      </c>
      <c r="O17" s="5">
        <f>Table2[[#This Row],[Product Cost(VL)]]*Table2[[#This Row],[Quantity]]</f>
        <v>461.9</v>
      </c>
      <c r="P17" s="5">
        <f>Table2[[#This Row],[Sales Amount]]-Table2[[#This Row],[ PRODUCT COST]]</f>
        <v>1737.4</v>
      </c>
      <c r="V17" s="35" t="s">
        <v>703</v>
      </c>
      <c r="W17" s="35">
        <f>COUNTIF(H:H, "&gt;5")</f>
        <v>142</v>
      </c>
    </row>
    <row r="18" spans="1:23" x14ac:dyDescent="0.25">
      <c r="A18" t="s">
        <v>65</v>
      </c>
      <c r="B18" s="3">
        <v>45634</v>
      </c>
      <c r="C18" t="s">
        <v>32</v>
      </c>
      <c r="D18" t="s">
        <v>23</v>
      </c>
      <c r="E18" t="s">
        <v>43</v>
      </c>
      <c r="F18" t="s">
        <v>67</v>
      </c>
      <c r="G18" t="s">
        <v>68</v>
      </c>
      <c r="H18" s="4">
        <v>8</v>
      </c>
      <c r="I18" s="5">
        <v>54.55</v>
      </c>
      <c r="J18" s="5">
        <f t="shared" si="0"/>
        <v>436.4</v>
      </c>
      <c r="K18" s="10">
        <f>YEAR(Table2[[#This Row],[Order Date]])</f>
        <v>2024</v>
      </c>
      <c r="L18">
        <f>MONTH(Table2[[#This Row],[Order Date]])</f>
        <v>12</v>
      </c>
      <c r="M18">
        <f>WEEKDAY(Table2[[#This Row],[Order Date]])</f>
        <v>1</v>
      </c>
      <c r="N18" s="5">
        <f>VLOOKUP(Table2[[#This Row],[Product]], Product_Lookup!$A$2:$B$26, 2, FALSE)</f>
        <v>33.22</v>
      </c>
      <c r="O18" s="5">
        <f>Table2[[#This Row],[Product Cost(VL)]]*Table2[[#This Row],[Quantity]]</f>
        <v>265.76</v>
      </c>
      <c r="P18" s="5">
        <f>Table2[[#This Row],[Sales Amount]]-Table2[[#This Row],[ PRODUCT COST]]</f>
        <v>170.64</v>
      </c>
      <c r="V18" s="35" t="s">
        <v>704</v>
      </c>
      <c r="W18" s="36">
        <f>SUMIFS(P:P,F:F,"Clothing",E:E,"West")</f>
        <v>12152.31</v>
      </c>
    </row>
    <row r="19" spans="1:23" x14ac:dyDescent="0.25">
      <c r="A19" t="s">
        <v>69</v>
      </c>
      <c r="B19" s="3">
        <v>45635</v>
      </c>
      <c r="C19" t="s">
        <v>237</v>
      </c>
      <c r="D19" t="s">
        <v>23</v>
      </c>
      <c r="E19" t="s">
        <v>58</v>
      </c>
      <c r="F19" t="s">
        <v>29</v>
      </c>
      <c r="G19" t="s">
        <v>30</v>
      </c>
      <c r="H19" s="4">
        <v>2</v>
      </c>
      <c r="I19" s="5">
        <v>198.54</v>
      </c>
      <c r="J19" s="5">
        <f t="shared" si="0"/>
        <v>397.08</v>
      </c>
      <c r="K19" s="10">
        <f>YEAR(Table2[[#This Row],[Order Date]])</f>
        <v>2024</v>
      </c>
      <c r="L19">
        <f>MONTH(Table2[[#This Row],[Order Date]])</f>
        <v>12</v>
      </c>
      <c r="M19">
        <f>WEEKDAY(Table2[[#This Row],[Order Date]])</f>
        <v>2</v>
      </c>
      <c r="N19" s="5">
        <f>VLOOKUP(Table2[[#This Row],[Product]], Product_Lookup!$A$2:$B$26, 2, FALSE)</f>
        <v>84.57</v>
      </c>
      <c r="O19" s="5">
        <f>Table2[[#This Row],[Product Cost(VL)]]*Table2[[#This Row],[Quantity]]</f>
        <v>169.14</v>
      </c>
      <c r="P19" s="5">
        <f>Table2[[#This Row],[Sales Amount]]-Table2[[#This Row],[ PRODUCT COST]]</f>
        <v>227.94</v>
      </c>
    </row>
    <row r="20" spans="1:23" x14ac:dyDescent="0.25">
      <c r="A20" t="s">
        <v>71</v>
      </c>
      <c r="B20" s="3">
        <v>45636</v>
      </c>
      <c r="C20" t="s">
        <v>46</v>
      </c>
      <c r="D20" t="s">
        <v>12</v>
      </c>
      <c r="E20" t="s">
        <v>669</v>
      </c>
      <c r="F20" t="s">
        <v>33</v>
      </c>
      <c r="G20" t="s">
        <v>72</v>
      </c>
      <c r="H20" s="4">
        <v>11</v>
      </c>
      <c r="I20" s="5">
        <v>363.15</v>
      </c>
      <c r="J20" s="5">
        <f t="shared" si="0"/>
        <v>3994.6499999999996</v>
      </c>
      <c r="K20" s="10">
        <f>YEAR(Table2[[#This Row],[Order Date]])</f>
        <v>2024</v>
      </c>
      <c r="L20">
        <f>MONTH(Table2[[#This Row],[Order Date]])</f>
        <v>12</v>
      </c>
      <c r="M20">
        <f>WEEKDAY(Table2[[#This Row],[Order Date]])</f>
        <v>3</v>
      </c>
      <c r="N20" s="5">
        <f>VLOOKUP(Table2[[#This Row],[Product]], Product_Lookup!$A$2:$B$26, 2, FALSE)</f>
        <v>211.9</v>
      </c>
      <c r="O20" s="5">
        <f>Table2[[#This Row],[Product Cost(VL)]]*Table2[[#This Row],[Quantity]]</f>
        <v>2330.9</v>
      </c>
      <c r="P20" s="5">
        <f>Table2[[#This Row],[Sales Amount]]-Table2[[#This Row],[ PRODUCT COST]]</f>
        <v>1663.7499999999995</v>
      </c>
    </row>
    <row r="21" spans="1:23" x14ac:dyDescent="0.25">
      <c r="A21" t="s">
        <v>73</v>
      </c>
      <c r="B21" s="3">
        <v>45637</v>
      </c>
      <c r="C21" t="s">
        <v>152</v>
      </c>
      <c r="D21" t="s">
        <v>18</v>
      </c>
      <c r="E21" t="s">
        <v>43</v>
      </c>
      <c r="F21" t="s">
        <v>50</v>
      </c>
      <c r="G21" t="s">
        <v>74</v>
      </c>
      <c r="H21" s="4">
        <v>7</v>
      </c>
      <c r="I21" s="5">
        <v>87.5</v>
      </c>
      <c r="J21" s="5">
        <f t="shared" si="0"/>
        <v>612.5</v>
      </c>
      <c r="K21" s="10">
        <f>YEAR(Table2[[#This Row],[Order Date]])</f>
        <v>2024</v>
      </c>
      <c r="L21">
        <f>MONTH(Table2[[#This Row],[Order Date]])</f>
        <v>12</v>
      </c>
      <c r="M21">
        <f>WEEKDAY(Table2[[#This Row],[Order Date]])</f>
        <v>4</v>
      </c>
      <c r="N21" s="5">
        <f>VLOOKUP(Table2[[#This Row],[Product]], Product_Lookup!$A$2:$B$26, 2, FALSE)</f>
        <v>156.44</v>
      </c>
      <c r="O21" s="5">
        <f>Table2[[#This Row],[Product Cost(VL)]]*Table2[[#This Row],[Quantity]]</f>
        <v>1095.08</v>
      </c>
      <c r="P21" s="5">
        <f>Table2[[#This Row],[Sales Amount]]-Table2[[#This Row],[ PRODUCT COST]]</f>
        <v>-482.57999999999993</v>
      </c>
    </row>
    <row r="22" spans="1:23" x14ac:dyDescent="0.25">
      <c r="A22" t="s">
        <v>75</v>
      </c>
      <c r="B22" s="3">
        <v>45638</v>
      </c>
      <c r="C22" t="s">
        <v>106</v>
      </c>
      <c r="D22" t="s">
        <v>12</v>
      </c>
      <c r="E22" t="s">
        <v>669</v>
      </c>
      <c r="F22" t="s">
        <v>29</v>
      </c>
      <c r="G22" t="s">
        <v>76</v>
      </c>
      <c r="H22" s="4">
        <v>14</v>
      </c>
      <c r="I22" s="5">
        <v>316.39999999999998</v>
      </c>
      <c r="J22" s="5">
        <f t="shared" si="0"/>
        <v>4429.5999999999995</v>
      </c>
      <c r="K22" s="10">
        <f>YEAR(Table2[[#This Row],[Order Date]])</f>
        <v>2024</v>
      </c>
      <c r="L22">
        <f>MONTH(Table2[[#This Row],[Order Date]])</f>
        <v>12</v>
      </c>
      <c r="M22">
        <f>WEEKDAY(Table2[[#This Row],[Order Date]])</f>
        <v>5</v>
      </c>
      <c r="N22" s="5">
        <f>VLOOKUP(Table2[[#This Row],[Product]], Product_Lookup!$A$2:$B$26, 2, FALSE)</f>
        <v>201.32</v>
      </c>
      <c r="O22" s="5">
        <f>Table2[[#This Row],[Product Cost(VL)]]*Table2[[#This Row],[Quantity]]</f>
        <v>2818.48</v>
      </c>
      <c r="P22" s="5">
        <f>Table2[[#This Row],[Sales Amount]]-Table2[[#This Row],[ PRODUCT COST]]</f>
        <v>1611.1199999999994</v>
      </c>
    </row>
    <row r="23" spans="1:23" x14ac:dyDescent="0.25">
      <c r="A23" t="s">
        <v>77</v>
      </c>
      <c r="B23" s="3">
        <v>45639</v>
      </c>
      <c r="C23" t="s">
        <v>97</v>
      </c>
      <c r="D23" t="s">
        <v>18</v>
      </c>
      <c r="E23" t="s">
        <v>669</v>
      </c>
      <c r="F23" t="s">
        <v>29</v>
      </c>
      <c r="G23" t="s">
        <v>68</v>
      </c>
      <c r="H23" s="4">
        <v>13</v>
      </c>
      <c r="I23" s="5">
        <v>89.16</v>
      </c>
      <c r="J23" s="5">
        <f t="shared" si="0"/>
        <v>1159.08</v>
      </c>
      <c r="K23" s="10">
        <f>YEAR(Table2[[#This Row],[Order Date]])</f>
        <v>2024</v>
      </c>
      <c r="L23">
        <f>MONTH(Table2[[#This Row],[Order Date]])</f>
        <v>12</v>
      </c>
      <c r="M23">
        <f>WEEKDAY(Table2[[#This Row],[Order Date]])</f>
        <v>6</v>
      </c>
      <c r="N23" s="5">
        <f>VLOOKUP(Table2[[#This Row],[Product]], Product_Lookup!$A$2:$B$26, 2, FALSE)</f>
        <v>33.22</v>
      </c>
      <c r="O23" s="5">
        <f>Table2[[#This Row],[Product Cost(VL)]]*Table2[[#This Row],[Quantity]]</f>
        <v>431.86</v>
      </c>
      <c r="P23" s="5">
        <f>Table2[[#This Row],[Sales Amount]]-Table2[[#This Row],[ PRODUCT COST]]</f>
        <v>727.21999999999991</v>
      </c>
    </row>
    <row r="24" spans="1:23" x14ac:dyDescent="0.25">
      <c r="A24" t="s">
        <v>78</v>
      </c>
      <c r="B24" s="3">
        <v>45640</v>
      </c>
      <c r="C24" t="s">
        <v>135</v>
      </c>
      <c r="D24" t="s">
        <v>18</v>
      </c>
      <c r="E24" t="s">
        <v>13</v>
      </c>
      <c r="F24" t="s">
        <v>24</v>
      </c>
      <c r="G24" t="s">
        <v>64</v>
      </c>
      <c r="H24" s="4">
        <v>1</v>
      </c>
      <c r="I24" s="5">
        <v>64.819999999999993</v>
      </c>
      <c r="J24" s="5">
        <f t="shared" si="0"/>
        <v>64.819999999999993</v>
      </c>
      <c r="K24" s="10">
        <f>YEAR(Table2[[#This Row],[Order Date]])</f>
        <v>2024</v>
      </c>
      <c r="L24">
        <f>MONTH(Table2[[#This Row],[Order Date]])</f>
        <v>12</v>
      </c>
      <c r="M24">
        <f>WEEKDAY(Table2[[#This Row],[Order Date]])</f>
        <v>7</v>
      </c>
      <c r="N24" s="5">
        <f>VLOOKUP(Table2[[#This Row],[Product]], Product_Lookup!$A$2:$B$26, 2, FALSE)</f>
        <v>46.19</v>
      </c>
      <c r="O24" s="5">
        <f>Table2[[#This Row],[Product Cost(VL)]]*Table2[[#This Row],[Quantity]]</f>
        <v>46.19</v>
      </c>
      <c r="P24" s="5">
        <f>Table2[[#This Row],[Sales Amount]]-Table2[[#This Row],[ PRODUCT COST]]</f>
        <v>18.629999999999995</v>
      </c>
    </row>
    <row r="25" spans="1:23" x14ac:dyDescent="0.25">
      <c r="A25" t="s">
        <v>79</v>
      </c>
      <c r="B25" s="3">
        <v>45641</v>
      </c>
      <c r="C25" t="s">
        <v>242</v>
      </c>
      <c r="D25" t="s">
        <v>23</v>
      </c>
      <c r="E25" t="s">
        <v>58</v>
      </c>
      <c r="F25" t="s">
        <v>14</v>
      </c>
      <c r="G25" t="s">
        <v>81</v>
      </c>
      <c r="H25" s="4">
        <v>2</v>
      </c>
      <c r="I25" s="5">
        <v>51.97</v>
      </c>
      <c r="J25" s="5">
        <f t="shared" si="0"/>
        <v>103.94</v>
      </c>
      <c r="K25" s="10">
        <f>YEAR(Table2[[#This Row],[Order Date]])</f>
        <v>2024</v>
      </c>
      <c r="L25">
        <f>MONTH(Table2[[#This Row],[Order Date]])</f>
        <v>12</v>
      </c>
      <c r="M25">
        <f>WEEKDAY(Table2[[#This Row],[Order Date]])</f>
        <v>1</v>
      </c>
      <c r="N25" s="5">
        <f>VLOOKUP(Table2[[#This Row],[Product]], Product_Lookup!$A$2:$B$26, 2, FALSE)</f>
        <v>216.22</v>
      </c>
      <c r="O25" s="5">
        <f>Table2[[#This Row],[Product Cost(VL)]]*Table2[[#This Row],[Quantity]]</f>
        <v>432.44</v>
      </c>
      <c r="P25" s="5">
        <f>Table2[[#This Row],[Sales Amount]]-Table2[[#This Row],[ PRODUCT COST]]</f>
        <v>-328.5</v>
      </c>
    </row>
    <row r="26" spans="1:23" x14ac:dyDescent="0.25">
      <c r="A26" t="s">
        <v>82</v>
      </c>
      <c r="B26" s="3">
        <v>45642</v>
      </c>
      <c r="C26" t="s">
        <v>53</v>
      </c>
      <c r="D26" t="s">
        <v>23</v>
      </c>
      <c r="E26" t="s">
        <v>669</v>
      </c>
      <c r="F26" t="s">
        <v>29</v>
      </c>
      <c r="G26" t="s">
        <v>68</v>
      </c>
      <c r="H26" s="4">
        <v>8</v>
      </c>
      <c r="I26" s="5">
        <v>473.96</v>
      </c>
      <c r="J26" s="5">
        <f t="shared" si="0"/>
        <v>3791.68</v>
      </c>
      <c r="K26" s="10">
        <f>YEAR(Table2[[#This Row],[Order Date]])</f>
        <v>2024</v>
      </c>
      <c r="L26">
        <f>MONTH(Table2[[#This Row],[Order Date]])</f>
        <v>12</v>
      </c>
      <c r="M26">
        <f>WEEKDAY(Table2[[#This Row],[Order Date]])</f>
        <v>2</v>
      </c>
      <c r="N26" s="5">
        <f>VLOOKUP(Table2[[#This Row],[Product]], Product_Lookup!$A$2:$B$26, 2, FALSE)</f>
        <v>33.22</v>
      </c>
      <c r="O26" s="5">
        <f>Table2[[#This Row],[Product Cost(VL)]]*Table2[[#This Row],[Quantity]]</f>
        <v>265.76</v>
      </c>
      <c r="P26" s="5">
        <f>Table2[[#This Row],[Sales Amount]]-Table2[[#This Row],[ PRODUCT COST]]</f>
        <v>3525.92</v>
      </c>
    </row>
    <row r="27" spans="1:23" x14ac:dyDescent="0.25">
      <c r="A27" t="s">
        <v>84</v>
      </c>
      <c r="B27" s="3">
        <v>45643</v>
      </c>
      <c r="C27" t="s">
        <v>95</v>
      </c>
      <c r="D27" t="s">
        <v>12</v>
      </c>
      <c r="E27" t="s">
        <v>669</v>
      </c>
      <c r="F27" t="s">
        <v>24</v>
      </c>
      <c r="G27" t="s">
        <v>86</v>
      </c>
      <c r="H27" s="4">
        <v>15</v>
      </c>
      <c r="I27" s="5">
        <v>274.26</v>
      </c>
      <c r="J27" s="5">
        <f t="shared" si="0"/>
        <v>4113.8999999999996</v>
      </c>
      <c r="K27" s="10">
        <f>YEAR(Table2[[#This Row],[Order Date]])</f>
        <v>2024</v>
      </c>
      <c r="L27">
        <f>MONTH(Table2[[#This Row],[Order Date]])</f>
        <v>12</v>
      </c>
      <c r="M27">
        <f>WEEKDAY(Table2[[#This Row],[Order Date]])</f>
        <v>3</v>
      </c>
      <c r="N27" s="5">
        <f>VLOOKUP(Table2[[#This Row],[Product]], Product_Lookup!$A$2:$B$26, 2, FALSE)</f>
        <v>130.07</v>
      </c>
      <c r="O27" s="5">
        <f>Table2[[#This Row],[Product Cost(VL)]]*Table2[[#This Row],[Quantity]]</f>
        <v>1951.05</v>
      </c>
      <c r="P27" s="5">
        <f>Table2[[#This Row],[Sales Amount]]-Table2[[#This Row],[ PRODUCT COST]]</f>
        <v>2162.8499999999995</v>
      </c>
    </row>
    <row r="28" spans="1:23" x14ac:dyDescent="0.25">
      <c r="A28" t="s">
        <v>87</v>
      </c>
      <c r="B28" s="3">
        <v>45644</v>
      </c>
      <c r="C28" t="s">
        <v>80</v>
      </c>
      <c r="D28" t="s">
        <v>23</v>
      </c>
      <c r="E28" t="s">
        <v>58</v>
      </c>
      <c r="F28" t="s">
        <v>33</v>
      </c>
      <c r="G28" t="s">
        <v>89</v>
      </c>
      <c r="H28" s="4">
        <v>11</v>
      </c>
      <c r="I28" s="5">
        <v>192.98</v>
      </c>
      <c r="J28" s="5">
        <f t="shared" si="0"/>
        <v>2122.7799999999997</v>
      </c>
      <c r="K28" s="10">
        <f>YEAR(Table2[[#This Row],[Order Date]])</f>
        <v>2024</v>
      </c>
      <c r="L28">
        <f>MONTH(Table2[[#This Row],[Order Date]])</f>
        <v>12</v>
      </c>
      <c r="M28">
        <f>WEEKDAY(Table2[[#This Row],[Order Date]])</f>
        <v>4</v>
      </c>
      <c r="N28" s="5">
        <f>VLOOKUP(Table2[[#This Row],[Product]], Product_Lookup!$A$2:$B$26, 2, FALSE)</f>
        <v>26.59</v>
      </c>
      <c r="O28" s="5">
        <f>Table2[[#This Row],[Product Cost(VL)]]*Table2[[#This Row],[Quantity]]</f>
        <v>292.49</v>
      </c>
      <c r="P28" s="5">
        <f>Table2[[#This Row],[Sales Amount]]-Table2[[#This Row],[ PRODUCT COST]]</f>
        <v>1830.2899999999997</v>
      </c>
    </row>
    <row r="29" spans="1:23" x14ac:dyDescent="0.25">
      <c r="A29" t="s">
        <v>90</v>
      </c>
      <c r="B29" s="3">
        <v>45645</v>
      </c>
      <c r="C29" t="s">
        <v>232</v>
      </c>
      <c r="D29" t="s">
        <v>12</v>
      </c>
      <c r="E29" t="s">
        <v>13</v>
      </c>
      <c r="F29" t="s">
        <v>29</v>
      </c>
      <c r="G29" t="s">
        <v>68</v>
      </c>
      <c r="H29" s="4">
        <v>6</v>
      </c>
      <c r="I29" s="5">
        <v>20.309999999999999</v>
      </c>
      <c r="J29" s="5">
        <f t="shared" si="0"/>
        <v>121.85999999999999</v>
      </c>
      <c r="K29" s="10">
        <f>YEAR(Table2[[#This Row],[Order Date]])</f>
        <v>2024</v>
      </c>
      <c r="L29">
        <f>MONTH(Table2[[#This Row],[Order Date]])</f>
        <v>12</v>
      </c>
      <c r="M29">
        <f>WEEKDAY(Table2[[#This Row],[Order Date]])</f>
        <v>5</v>
      </c>
      <c r="N29" s="5">
        <f>VLOOKUP(Table2[[#This Row],[Product]], Product_Lookup!$A$2:$B$26, 2, FALSE)</f>
        <v>33.22</v>
      </c>
      <c r="O29" s="5">
        <f>Table2[[#This Row],[Product Cost(VL)]]*Table2[[#This Row],[Quantity]]</f>
        <v>199.32</v>
      </c>
      <c r="P29" s="5">
        <f>Table2[[#This Row],[Sales Amount]]-Table2[[#This Row],[ PRODUCT COST]]</f>
        <v>-77.460000000000008</v>
      </c>
    </row>
    <row r="30" spans="1:23" x14ac:dyDescent="0.25">
      <c r="A30" t="s">
        <v>92</v>
      </c>
      <c r="B30" s="3">
        <v>45646</v>
      </c>
      <c r="C30" t="s">
        <v>88</v>
      </c>
      <c r="D30" t="s">
        <v>12</v>
      </c>
      <c r="E30" t="s">
        <v>669</v>
      </c>
      <c r="F30" t="s">
        <v>29</v>
      </c>
      <c r="G30" t="s">
        <v>47</v>
      </c>
      <c r="H30" s="4">
        <v>12</v>
      </c>
      <c r="I30" s="5">
        <v>319.24</v>
      </c>
      <c r="J30" s="5">
        <f t="shared" si="0"/>
        <v>3830.88</v>
      </c>
      <c r="K30" s="10">
        <f>YEAR(Table2[[#This Row],[Order Date]])</f>
        <v>2024</v>
      </c>
      <c r="L30">
        <f>MONTH(Table2[[#This Row],[Order Date]])</f>
        <v>12</v>
      </c>
      <c r="M30">
        <f>WEEKDAY(Table2[[#This Row],[Order Date]])</f>
        <v>6</v>
      </c>
      <c r="N30" s="5">
        <f>VLOOKUP(Table2[[#This Row],[Product]], Product_Lookup!$A$2:$B$26, 2, FALSE)</f>
        <v>107.34</v>
      </c>
      <c r="O30" s="5">
        <f>Table2[[#This Row],[Product Cost(VL)]]*Table2[[#This Row],[Quantity]]</f>
        <v>1288.08</v>
      </c>
      <c r="P30" s="5">
        <f>Table2[[#This Row],[Sales Amount]]-Table2[[#This Row],[ PRODUCT COST]]</f>
        <v>2542.8000000000002</v>
      </c>
    </row>
    <row r="31" spans="1:23" x14ac:dyDescent="0.25">
      <c r="A31" t="s">
        <v>93</v>
      </c>
      <c r="B31" s="3">
        <v>45647</v>
      </c>
      <c r="C31" t="s">
        <v>103</v>
      </c>
      <c r="D31" t="s">
        <v>23</v>
      </c>
      <c r="E31" t="s">
        <v>13</v>
      </c>
      <c r="F31" t="s">
        <v>33</v>
      </c>
      <c r="G31" t="s">
        <v>74</v>
      </c>
      <c r="H31" s="4">
        <v>4</v>
      </c>
      <c r="I31" s="5">
        <v>146.44999999999999</v>
      </c>
      <c r="J31" s="5">
        <f t="shared" si="0"/>
        <v>585.79999999999995</v>
      </c>
      <c r="K31" s="10">
        <f>YEAR(Table2[[#This Row],[Order Date]])</f>
        <v>2024</v>
      </c>
      <c r="L31">
        <f>MONTH(Table2[[#This Row],[Order Date]])</f>
        <v>12</v>
      </c>
      <c r="M31">
        <f>WEEKDAY(Table2[[#This Row],[Order Date]])</f>
        <v>7</v>
      </c>
      <c r="N31" s="5">
        <f>VLOOKUP(Table2[[#This Row],[Product]], Product_Lookup!$A$2:$B$26, 2, FALSE)</f>
        <v>156.44</v>
      </c>
      <c r="O31" s="5">
        <f>Table2[[#This Row],[Product Cost(VL)]]*Table2[[#This Row],[Quantity]]</f>
        <v>625.76</v>
      </c>
      <c r="P31" s="5">
        <f>Table2[[#This Row],[Sales Amount]]-Table2[[#This Row],[ PRODUCT COST]]</f>
        <v>-39.960000000000036</v>
      </c>
    </row>
    <row r="32" spans="1:23" x14ac:dyDescent="0.25">
      <c r="A32" t="s">
        <v>94</v>
      </c>
      <c r="B32" s="3">
        <v>45648</v>
      </c>
      <c r="C32" t="s">
        <v>91</v>
      </c>
      <c r="D32" t="s">
        <v>23</v>
      </c>
      <c r="E32" t="s">
        <v>669</v>
      </c>
      <c r="F32" t="s">
        <v>29</v>
      </c>
      <c r="G32" t="s">
        <v>76</v>
      </c>
      <c r="H32" s="4">
        <v>8</v>
      </c>
      <c r="I32" s="5">
        <v>129.07</v>
      </c>
      <c r="J32" s="5">
        <f t="shared" si="0"/>
        <v>1032.56</v>
      </c>
      <c r="K32" s="10">
        <f>YEAR(Table2[[#This Row],[Order Date]])</f>
        <v>2024</v>
      </c>
      <c r="L32">
        <f>MONTH(Table2[[#This Row],[Order Date]])</f>
        <v>12</v>
      </c>
      <c r="M32">
        <f>WEEKDAY(Table2[[#This Row],[Order Date]])</f>
        <v>1</v>
      </c>
      <c r="N32" s="5">
        <f>VLOOKUP(Table2[[#This Row],[Product]], Product_Lookup!$A$2:$B$26, 2, FALSE)</f>
        <v>201.32</v>
      </c>
      <c r="O32" s="5">
        <f>Table2[[#This Row],[Product Cost(VL)]]*Table2[[#This Row],[Quantity]]</f>
        <v>1610.56</v>
      </c>
      <c r="P32" s="5">
        <f>Table2[[#This Row],[Sales Amount]]-Table2[[#This Row],[ PRODUCT COST]]</f>
        <v>-578</v>
      </c>
    </row>
    <row r="33" spans="1:16" x14ac:dyDescent="0.25">
      <c r="A33" t="s">
        <v>96</v>
      </c>
      <c r="B33" s="3">
        <v>45649</v>
      </c>
      <c r="C33" t="s">
        <v>57</v>
      </c>
      <c r="D33" t="s">
        <v>23</v>
      </c>
      <c r="E33" t="s">
        <v>58</v>
      </c>
      <c r="F33" t="s">
        <v>14</v>
      </c>
      <c r="G33" t="s">
        <v>98</v>
      </c>
      <c r="H33" s="4">
        <v>7</v>
      </c>
      <c r="I33" s="5">
        <v>183.61</v>
      </c>
      <c r="J33" s="5">
        <f t="shared" si="0"/>
        <v>1285.27</v>
      </c>
      <c r="K33" s="10">
        <f>YEAR(Table2[[#This Row],[Order Date]])</f>
        <v>2024</v>
      </c>
      <c r="L33">
        <f>MONTH(Table2[[#This Row],[Order Date]])</f>
        <v>12</v>
      </c>
      <c r="M33">
        <f>WEEKDAY(Table2[[#This Row],[Order Date]])</f>
        <v>2</v>
      </c>
      <c r="N33" s="5">
        <f>VLOOKUP(Table2[[#This Row],[Product]], Product_Lookup!$A$2:$B$26, 2, FALSE)</f>
        <v>230.68</v>
      </c>
      <c r="O33" s="5">
        <f>Table2[[#This Row],[Product Cost(VL)]]*Table2[[#This Row],[Quantity]]</f>
        <v>1614.76</v>
      </c>
      <c r="P33" s="5">
        <f>Table2[[#This Row],[Sales Amount]]-Table2[[#This Row],[ PRODUCT COST]]</f>
        <v>-329.49</v>
      </c>
    </row>
    <row r="34" spans="1:16" x14ac:dyDescent="0.25">
      <c r="A34" t="s">
        <v>99</v>
      </c>
      <c r="B34" s="3">
        <v>45650</v>
      </c>
      <c r="C34" t="s">
        <v>63</v>
      </c>
      <c r="D34" t="s">
        <v>18</v>
      </c>
      <c r="E34" t="s">
        <v>13</v>
      </c>
      <c r="F34" t="s">
        <v>14</v>
      </c>
      <c r="G34" t="s">
        <v>98</v>
      </c>
      <c r="H34" s="4">
        <v>12</v>
      </c>
      <c r="I34" s="5">
        <v>176.26</v>
      </c>
      <c r="J34" s="5">
        <f t="shared" si="0"/>
        <v>2115.12</v>
      </c>
      <c r="K34" s="10">
        <f>YEAR(Table2[[#This Row],[Order Date]])</f>
        <v>2024</v>
      </c>
      <c r="L34">
        <f>MONTH(Table2[[#This Row],[Order Date]])</f>
        <v>12</v>
      </c>
      <c r="M34">
        <f>WEEKDAY(Table2[[#This Row],[Order Date]])</f>
        <v>3</v>
      </c>
      <c r="N34" s="5">
        <f>VLOOKUP(Table2[[#This Row],[Product]], Product_Lookup!$A$2:$B$26, 2, FALSE)</f>
        <v>230.68</v>
      </c>
      <c r="O34" s="5">
        <f>Table2[[#This Row],[Product Cost(VL)]]*Table2[[#This Row],[Quantity]]</f>
        <v>2768.16</v>
      </c>
      <c r="P34" s="5">
        <f>Table2[[#This Row],[Sales Amount]]-Table2[[#This Row],[ PRODUCT COST]]</f>
        <v>-653.04</v>
      </c>
    </row>
    <row r="35" spans="1:16" x14ac:dyDescent="0.25">
      <c r="A35" t="s">
        <v>100</v>
      </c>
      <c r="B35" s="3">
        <v>45651</v>
      </c>
      <c r="C35" t="s">
        <v>70</v>
      </c>
      <c r="D35" t="s">
        <v>18</v>
      </c>
      <c r="E35" t="s">
        <v>58</v>
      </c>
      <c r="F35" t="s">
        <v>29</v>
      </c>
      <c r="G35" t="s">
        <v>76</v>
      </c>
      <c r="H35" s="4">
        <v>3</v>
      </c>
      <c r="I35" s="5">
        <v>216.72</v>
      </c>
      <c r="J35" s="5">
        <f t="shared" si="0"/>
        <v>650.16</v>
      </c>
      <c r="K35" s="10">
        <f>YEAR(Table2[[#This Row],[Order Date]])</f>
        <v>2024</v>
      </c>
      <c r="L35">
        <f>MONTH(Table2[[#This Row],[Order Date]])</f>
        <v>12</v>
      </c>
      <c r="M35">
        <f>WEEKDAY(Table2[[#This Row],[Order Date]])</f>
        <v>4</v>
      </c>
      <c r="N35" s="5">
        <f>VLOOKUP(Table2[[#This Row],[Product]], Product_Lookup!$A$2:$B$26, 2, FALSE)</f>
        <v>201.32</v>
      </c>
      <c r="O35" s="5">
        <f>Table2[[#This Row],[Product Cost(VL)]]*Table2[[#This Row],[Quantity]]</f>
        <v>603.96</v>
      </c>
      <c r="P35" s="5">
        <f>Table2[[#This Row],[Sales Amount]]-Table2[[#This Row],[ PRODUCT COST]]</f>
        <v>46.199999999999932</v>
      </c>
    </row>
    <row r="36" spans="1:16" x14ac:dyDescent="0.25">
      <c r="A36" t="s">
        <v>102</v>
      </c>
      <c r="B36" s="3">
        <v>45652</v>
      </c>
      <c r="C36" t="s">
        <v>149</v>
      </c>
      <c r="D36" t="s">
        <v>23</v>
      </c>
      <c r="E36" t="s">
        <v>58</v>
      </c>
      <c r="F36" t="s">
        <v>14</v>
      </c>
      <c r="G36" t="s">
        <v>104</v>
      </c>
      <c r="H36" s="4">
        <v>2</v>
      </c>
      <c r="I36" s="5">
        <v>34.79</v>
      </c>
      <c r="J36" s="5">
        <f t="shared" si="0"/>
        <v>69.58</v>
      </c>
      <c r="K36" s="10">
        <f>YEAR(Table2[[#This Row],[Order Date]])</f>
        <v>2024</v>
      </c>
      <c r="L36">
        <f>MONTH(Table2[[#This Row],[Order Date]])</f>
        <v>12</v>
      </c>
      <c r="M36">
        <f>WEEKDAY(Table2[[#This Row],[Order Date]])</f>
        <v>5</v>
      </c>
      <c r="N36" s="5">
        <f>VLOOKUP(Table2[[#This Row],[Product]], Product_Lookup!$A$2:$B$26, 2, FALSE)</f>
        <v>145.47999999999999</v>
      </c>
      <c r="O36" s="5">
        <f>Table2[[#This Row],[Product Cost(VL)]]*Table2[[#This Row],[Quantity]]</f>
        <v>290.95999999999998</v>
      </c>
      <c r="P36" s="5">
        <f>Table2[[#This Row],[Sales Amount]]-Table2[[#This Row],[ PRODUCT COST]]</f>
        <v>-221.38</v>
      </c>
    </row>
    <row r="37" spans="1:16" x14ac:dyDescent="0.25">
      <c r="A37" t="s">
        <v>105</v>
      </c>
      <c r="B37" s="3">
        <v>45653</v>
      </c>
      <c r="C37" t="s">
        <v>40</v>
      </c>
      <c r="D37" t="s">
        <v>18</v>
      </c>
      <c r="E37" t="s">
        <v>13</v>
      </c>
      <c r="F37" t="s">
        <v>29</v>
      </c>
      <c r="G37" t="s">
        <v>68</v>
      </c>
      <c r="H37" s="4">
        <v>8</v>
      </c>
      <c r="I37" s="5">
        <v>245.87</v>
      </c>
      <c r="J37" s="5">
        <f t="shared" si="0"/>
        <v>1966.96</v>
      </c>
      <c r="K37" s="10">
        <f>YEAR(Table2[[#This Row],[Order Date]])</f>
        <v>2024</v>
      </c>
      <c r="L37">
        <f>MONTH(Table2[[#This Row],[Order Date]])</f>
        <v>12</v>
      </c>
      <c r="M37">
        <f>WEEKDAY(Table2[[#This Row],[Order Date]])</f>
        <v>6</v>
      </c>
      <c r="N37" s="5">
        <f>VLOOKUP(Table2[[#This Row],[Product]], Product_Lookup!$A$2:$B$26, 2, FALSE)</f>
        <v>33.22</v>
      </c>
      <c r="O37" s="5">
        <f>Table2[[#This Row],[Product Cost(VL)]]*Table2[[#This Row],[Quantity]]</f>
        <v>265.76</v>
      </c>
      <c r="P37" s="5">
        <f>Table2[[#This Row],[Sales Amount]]-Table2[[#This Row],[ PRODUCT COST]]</f>
        <v>1701.2</v>
      </c>
    </row>
    <row r="38" spans="1:16" x14ac:dyDescent="0.25">
      <c r="A38" t="s">
        <v>107</v>
      </c>
      <c r="B38" s="3">
        <v>45654</v>
      </c>
      <c r="C38" t="s">
        <v>189</v>
      </c>
      <c r="D38" t="s">
        <v>18</v>
      </c>
      <c r="E38" t="s">
        <v>58</v>
      </c>
      <c r="F38" t="s">
        <v>37</v>
      </c>
      <c r="G38" t="s">
        <v>38</v>
      </c>
      <c r="H38" s="4">
        <v>5</v>
      </c>
      <c r="I38" s="5">
        <v>463.99</v>
      </c>
      <c r="J38" s="5">
        <f t="shared" si="0"/>
        <v>2319.9499999999998</v>
      </c>
      <c r="K38" s="10">
        <f>YEAR(Table2[[#This Row],[Order Date]])</f>
        <v>2024</v>
      </c>
      <c r="L38">
        <f>MONTH(Table2[[#This Row],[Order Date]])</f>
        <v>12</v>
      </c>
      <c r="M38">
        <f>WEEKDAY(Table2[[#This Row],[Order Date]])</f>
        <v>7</v>
      </c>
      <c r="N38" s="5">
        <f>VLOOKUP(Table2[[#This Row],[Product]], Product_Lookup!$A$2:$B$26, 2, FALSE)</f>
        <v>64.61</v>
      </c>
      <c r="O38" s="5">
        <f>Table2[[#This Row],[Product Cost(VL)]]*Table2[[#This Row],[Quantity]]</f>
        <v>323.05</v>
      </c>
      <c r="P38" s="5">
        <f>Table2[[#This Row],[Sales Amount]]-Table2[[#This Row],[ PRODUCT COST]]</f>
        <v>1996.8999999999999</v>
      </c>
    </row>
    <row r="39" spans="1:16" x14ac:dyDescent="0.25">
      <c r="A39" t="s">
        <v>109</v>
      </c>
      <c r="B39" s="3">
        <v>45655</v>
      </c>
      <c r="C39" t="s">
        <v>120</v>
      </c>
      <c r="D39" t="s">
        <v>23</v>
      </c>
      <c r="E39" t="s">
        <v>43</v>
      </c>
      <c r="F39" t="s">
        <v>37</v>
      </c>
      <c r="G39" t="s">
        <v>111</v>
      </c>
      <c r="H39" s="4">
        <v>12</v>
      </c>
      <c r="I39" s="5">
        <v>248.47</v>
      </c>
      <c r="J39" s="5">
        <f t="shared" si="0"/>
        <v>2981.64</v>
      </c>
      <c r="K39" s="10">
        <f>YEAR(Table2[[#This Row],[Order Date]])</f>
        <v>2024</v>
      </c>
      <c r="L39">
        <f>MONTH(Table2[[#This Row],[Order Date]])</f>
        <v>12</v>
      </c>
      <c r="M39">
        <f>WEEKDAY(Table2[[#This Row],[Order Date]])</f>
        <v>1</v>
      </c>
      <c r="N39" s="5">
        <f>VLOOKUP(Table2[[#This Row],[Product]], Product_Lookup!$A$2:$B$26, 2, FALSE)</f>
        <v>81.02</v>
      </c>
      <c r="O39" s="5">
        <f>Table2[[#This Row],[Product Cost(VL)]]*Table2[[#This Row],[Quantity]]</f>
        <v>972.24</v>
      </c>
      <c r="P39" s="5">
        <f>Table2[[#This Row],[Sales Amount]]-Table2[[#This Row],[ PRODUCT COST]]</f>
        <v>2009.3999999999999</v>
      </c>
    </row>
    <row r="40" spans="1:16" x14ac:dyDescent="0.25">
      <c r="A40" t="s">
        <v>112</v>
      </c>
      <c r="B40" s="3">
        <v>45656</v>
      </c>
      <c r="C40" t="s">
        <v>49</v>
      </c>
      <c r="D40" t="s">
        <v>23</v>
      </c>
      <c r="E40" t="s">
        <v>58</v>
      </c>
      <c r="F40" t="s">
        <v>14</v>
      </c>
      <c r="G40" t="s">
        <v>20</v>
      </c>
      <c r="H40" s="4">
        <v>9</v>
      </c>
      <c r="I40" s="5">
        <v>39.869999999999997</v>
      </c>
      <c r="J40" s="5">
        <f t="shared" si="0"/>
        <v>358.83</v>
      </c>
      <c r="K40" s="10">
        <f>YEAR(Table2[[#This Row],[Order Date]])</f>
        <v>2024</v>
      </c>
      <c r="L40">
        <f>MONTH(Table2[[#This Row],[Order Date]])</f>
        <v>12</v>
      </c>
      <c r="M40">
        <f>WEEKDAY(Table2[[#This Row],[Order Date]])</f>
        <v>2</v>
      </c>
      <c r="N40" s="5">
        <f>VLOOKUP(Table2[[#This Row],[Product]], Product_Lookup!$A$2:$B$26, 2, FALSE)</f>
        <v>178.83</v>
      </c>
      <c r="O40" s="5">
        <f>Table2[[#This Row],[Product Cost(VL)]]*Table2[[#This Row],[Quantity]]</f>
        <v>1609.47</v>
      </c>
      <c r="P40" s="5">
        <f>Table2[[#This Row],[Sales Amount]]-Table2[[#This Row],[ PRODUCT COST]]</f>
        <v>-1250.6400000000001</v>
      </c>
    </row>
    <row r="41" spans="1:16" x14ac:dyDescent="0.25">
      <c r="A41" t="s">
        <v>114</v>
      </c>
      <c r="B41" s="3">
        <v>45657</v>
      </c>
      <c r="C41" t="s">
        <v>22</v>
      </c>
      <c r="D41" t="s">
        <v>23</v>
      </c>
      <c r="E41" t="s">
        <v>13</v>
      </c>
      <c r="F41" t="s">
        <v>24</v>
      </c>
      <c r="G41" t="s">
        <v>86</v>
      </c>
      <c r="H41" s="4">
        <v>15</v>
      </c>
      <c r="I41" s="5">
        <v>427.83</v>
      </c>
      <c r="J41" s="5">
        <f t="shared" si="0"/>
        <v>6417.45</v>
      </c>
      <c r="K41" s="10">
        <f>YEAR(Table2[[#This Row],[Order Date]])</f>
        <v>2024</v>
      </c>
      <c r="L41">
        <f>MONTH(Table2[[#This Row],[Order Date]])</f>
        <v>12</v>
      </c>
      <c r="M41">
        <f>WEEKDAY(Table2[[#This Row],[Order Date]])</f>
        <v>3</v>
      </c>
      <c r="N41" s="5">
        <f>VLOOKUP(Table2[[#This Row],[Product]], Product_Lookup!$A$2:$B$26, 2, FALSE)</f>
        <v>130.07</v>
      </c>
      <c r="O41" s="5">
        <f>Table2[[#This Row],[Product Cost(VL)]]*Table2[[#This Row],[Quantity]]</f>
        <v>1951.05</v>
      </c>
      <c r="P41" s="5">
        <f>Table2[[#This Row],[Sales Amount]]-Table2[[#This Row],[ PRODUCT COST]]</f>
        <v>4466.3999999999996</v>
      </c>
    </row>
    <row r="42" spans="1:16" x14ac:dyDescent="0.25">
      <c r="A42" t="s">
        <v>115</v>
      </c>
      <c r="B42" s="3">
        <v>45658</v>
      </c>
      <c r="C42" t="s">
        <v>184</v>
      </c>
      <c r="D42" t="s">
        <v>12</v>
      </c>
      <c r="E42" t="s">
        <v>669</v>
      </c>
      <c r="F42" t="s">
        <v>14</v>
      </c>
      <c r="G42" t="s">
        <v>81</v>
      </c>
      <c r="H42" s="4">
        <v>10</v>
      </c>
      <c r="I42" s="5">
        <v>43.3</v>
      </c>
      <c r="J42" s="5">
        <f t="shared" si="0"/>
        <v>433</v>
      </c>
      <c r="K42" s="10">
        <f>YEAR(Table2[[#This Row],[Order Date]])</f>
        <v>2025</v>
      </c>
      <c r="L42">
        <f>MONTH(Table2[[#This Row],[Order Date]])</f>
        <v>1</v>
      </c>
      <c r="M42">
        <f>WEEKDAY(Table2[[#This Row],[Order Date]])</f>
        <v>4</v>
      </c>
      <c r="N42" s="5">
        <f>VLOOKUP(Table2[[#This Row],[Product]], Product_Lookup!$A$2:$B$26, 2, FALSE)</f>
        <v>216.22</v>
      </c>
      <c r="O42" s="5">
        <f>Table2[[#This Row],[Product Cost(VL)]]*Table2[[#This Row],[Quantity]]</f>
        <v>2162.1999999999998</v>
      </c>
      <c r="P42" s="5">
        <f>Table2[[#This Row],[Sales Amount]]-Table2[[#This Row],[ PRODUCT COST]]</f>
        <v>-1729.1999999999998</v>
      </c>
    </row>
    <row r="43" spans="1:16" x14ac:dyDescent="0.25">
      <c r="A43" t="s">
        <v>117</v>
      </c>
      <c r="B43" s="3">
        <v>45659</v>
      </c>
      <c r="C43" t="s">
        <v>85</v>
      </c>
      <c r="D43" t="s">
        <v>23</v>
      </c>
      <c r="E43" t="s">
        <v>13</v>
      </c>
      <c r="F43" t="s">
        <v>24</v>
      </c>
      <c r="G43" t="s">
        <v>44</v>
      </c>
      <c r="H43" s="4">
        <v>10</v>
      </c>
      <c r="I43" s="5">
        <v>29.47</v>
      </c>
      <c r="J43" s="5">
        <f t="shared" si="0"/>
        <v>294.7</v>
      </c>
      <c r="K43" s="10">
        <f>YEAR(Table2[[#This Row],[Order Date]])</f>
        <v>2025</v>
      </c>
      <c r="L43">
        <f>MONTH(Table2[[#This Row],[Order Date]])</f>
        <v>1</v>
      </c>
      <c r="M43">
        <f>WEEKDAY(Table2[[#This Row],[Order Date]])</f>
        <v>5</v>
      </c>
      <c r="N43" s="5">
        <f>VLOOKUP(Table2[[#This Row],[Product]], Product_Lookup!$A$2:$B$26, 2, FALSE)</f>
        <v>86.6</v>
      </c>
      <c r="O43" s="5">
        <f>Table2[[#This Row],[Product Cost(VL)]]*Table2[[#This Row],[Quantity]]</f>
        <v>866</v>
      </c>
      <c r="P43" s="5">
        <f>Table2[[#This Row],[Sales Amount]]-Table2[[#This Row],[ PRODUCT COST]]</f>
        <v>-571.29999999999995</v>
      </c>
    </row>
    <row r="44" spans="1:16" x14ac:dyDescent="0.25">
      <c r="A44" t="s">
        <v>119</v>
      </c>
      <c r="B44" s="3">
        <v>45660</v>
      </c>
      <c r="C44" t="s">
        <v>202</v>
      </c>
      <c r="D44" t="s">
        <v>18</v>
      </c>
      <c r="E44" t="s">
        <v>669</v>
      </c>
      <c r="F44" t="s">
        <v>24</v>
      </c>
      <c r="G44" t="s">
        <v>121</v>
      </c>
      <c r="H44" s="4">
        <v>15</v>
      </c>
      <c r="I44" s="5">
        <v>137.78</v>
      </c>
      <c r="J44" s="5">
        <f t="shared" si="0"/>
        <v>2066.6999999999998</v>
      </c>
      <c r="K44" s="10">
        <f>YEAR(Table2[[#This Row],[Order Date]])</f>
        <v>2025</v>
      </c>
      <c r="L44">
        <f>MONTH(Table2[[#This Row],[Order Date]])</f>
        <v>1</v>
      </c>
      <c r="M44">
        <f>WEEKDAY(Table2[[#This Row],[Order Date]])</f>
        <v>6</v>
      </c>
      <c r="N44" s="5">
        <f>VLOOKUP(Table2[[#This Row],[Product]], Product_Lookup!$A$2:$B$26, 2, FALSE)</f>
        <v>32.94</v>
      </c>
      <c r="O44" s="5">
        <f>Table2[[#This Row],[Product Cost(VL)]]*Table2[[#This Row],[Quantity]]</f>
        <v>494.09999999999997</v>
      </c>
      <c r="P44" s="5">
        <f>Table2[[#This Row],[Sales Amount]]-Table2[[#This Row],[ PRODUCT COST]]</f>
        <v>1572.6</v>
      </c>
    </row>
    <row r="45" spans="1:16" x14ac:dyDescent="0.25">
      <c r="A45" t="s">
        <v>122</v>
      </c>
      <c r="B45" s="3">
        <v>45661</v>
      </c>
      <c r="C45" t="s">
        <v>161</v>
      </c>
      <c r="D45" t="s">
        <v>12</v>
      </c>
      <c r="E45" t="s">
        <v>58</v>
      </c>
      <c r="F45" t="s">
        <v>33</v>
      </c>
      <c r="G45" t="s">
        <v>89</v>
      </c>
      <c r="H45" s="4">
        <v>11</v>
      </c>
      <c r="I45" s="5">
        <v>326.3</v>
      </c>
      <c r="J45" s="5">
        <f t="shared" si="0"/>
        <v>3589.3</v>
      </c>
      <c r="K45" s="10">
        <f>YEAR(Table2[[#This Row],[Order Date]])</f>
        <v>2025</v>
      </c>
      <c r="L45">
        <f>MONTH(Table2[[#This Row],[Order Date]])</f>
        <v>1</v>
      </c>
      <c r="M45">
        <f>WEEKDAY(Table2[[#This Row],[Order Date]])</f>
        <v>7</v>
      </c>
      <c r="N45" s="5">
        <f>VLOOKUP(Table2[[#This Row],[Product]], Product_Lookup!$A$2:$B$26, 2, FALSE)</f>
        <v>26.59</v>
      </c>
      <c r="O45" s="5">
        <f>Table2[[#This Row],[Product Cost(VL)]]*Table2[[#This Row],[Quantity]]</f>
        <v>292.49</v>
      </c>
      <c r="P45" s="5">
        <f>Table2[[#This Row],[Sales Amount]]-Table2[[#This Row],[ PRODUCT COST]]</f>
        <v>3296.8100000000004</v>
      </c>
    </row>
    <row r="46" spans="1:16" x14ac:dyDescent="0.25">
      <c r="A46" t="s">
        <v>123</v>
      </c>
      <c r="B46" s="3">
        <v>45662</v>
      </c>
      <c r="C46" t="s">
        <v>55</v>
      </c>
      <c r="D46" t="s">
        <v>23</v>
      </c>
      <c r="E46" t="s">
        <v>13</v>
      </c>
      <c r="F46" t="s">
        <v>14</v>
      </c>
      <c r="G46" t="s">
        <v>104</v>
      </c>
      <c r="H46" s="4">
        <v>10</v>
      </c>
      <c r="I46" s="5">
        <v>498.09</v>
      </c>
      <c r="J46" s="5">
        <f t="shared" si="0"/>
        <v>4980.8999999999996</v>
      </c>
      <c r="K46" s="10">
        <f>YEAR(Table2[[#This Row],[Order Date]])</f>
        <v>2025</v>
      </c>
      <c r="L46">
        <f>MONTH(Table2[[#This Row],[Order Date]])</f>
        <v>1</v>
      </c>
      <c r="M46">
        <f>WEEKDAY(Table2[[#This Row],[Order Date]])</f>
        <v>1</v>
      </c>
      <c r="N46" s="5">
        <f>VLOOKUP(Table2[[#This Row],[Product]], Product_Lookup!$A$2:$B$26, 2, FALSE)</f>
        <v>145.47999999999999</v>
      </c>
      <c r="O46" s="5">
        <f>Table2[[#This Row],[Product Cost(VL)]]*Table2[[#This Row],[Quantity]]</f>
        <v>1454.8</v>
      </c>
      <c r="P46" s="5">
        <f>Table2[[#This Row],[Sales Amount]]-Table2[[#This Row],[ PRODUCT COST]]</f>
        <v>3526.0999999999995</v>
      </c>
    </row>
    <row r="47" spans="1:16" x14ac:dyDescent="0.25">
      <c r="A47" t="s">
        <v>125</v>
      </c>
      <c r="B47" s="3">
        <v>45663</v>
      </c>
      <c r="C47" t="s">
        <v>108</v>
      </c>
      <c r="D47" t="s">
        <v>12</v>
      </c>
      <c r="E47" t="s">
        <v>58</v>
      </c>
      <c r="F47" t="s">
        <v>24</v>
      </c>
      <c r="G47" t="s">
        <v>64</v>
      </c>
      <c r="H47" s="4">
        <v>15</v>
      </c>
      <c r="I47" s="5">
        <v>181.01</v>
      </c>
      <c r="J47" s="5">
        <f t="shared" si="0"/>
        <v>2715.1499999999996</v>
      </c>
      <c r="K47" s="10">
        <f>YEAR(Table2[[#This Row],[Order Date]])</f>
        <v>2025</v>
      </c>
      <c r="L47">
        <f>MONTH(Table2[[#This Row],[Order Date]])</f>
        <v>1</v>
      </c>
      <c r="M47">
        <f>WEEKDAY(Table2[[#This Row],[Order Date]])</f>
        <v>2</v>
      </c>
      <c r="N47" s="5">
        <f>VLOOKUP(Table2[[#This Row],[Product]], Product_Lookup!$A$2:$B$26, 2, FALSE)</f>
        <v>46.19</v>
      </c>
      <c r="O47" s="5">
        <f>Table2[[#This Row],[Product Cost(VL)]]*Table2[[#This Row],[Quantity]]</f>
        <v>692.84999999999991</v>
      </c>
      <c r="P47" s="5">
        <f>Table2[[#This Row],[Sales Amount]]-Table2[[#This Row],[ PRODUCT COST]]</f>
        <v>2022.2999999999997</v>
      </c>
    </row>
    <row r="48" spans="1:16" x14ac:dyDescent="0.25">
      <c r="A48" t="s">
        <v>126</v>
      </c>
      <c r="B48" s="3">
        <v>45664</v>
      </c>
      <c r="C48" t="s">
        <v>509</v>
      </c>
      <c r="D48" t="s">
        <v>18</v>
      </c>
      <c r="E48" t="s">
        <v>43</v>
      </c>
      <c r="F48" t="s">
        <v>33</v>
      </c>
      <c r="G48" t="s">
        <v>51</v>
      </c>
      <c r="H48" s="4">
        <v>14</v>
      </c>
      <c r="I48" s="5">
        <v>276.18</v>
      </c>
      <c r="J48" s="5">
        <f t="shared" si="0"/>
        <v>3866.52</v>
      </c>
      <c r="K48" s="10">
        <f>YEAR(Table2[[#This Row],[Order Date]])</f>
        <v>2025</v>
      </c>
      <c r="L48">
        <f>MONTH(Table2[[#This Row],[Order Date]])</f>
        <v>1</v>
      </c>
      <c r="M48">
        <f>WEEKDAY(Table2[[#This Row],[Order Date]])</f>
        <v>3</v>
      </c>
      <c r="N48" s="5">
        <f>VLOOKUP(Table2[[#This Row],[Product]], Product_Lookup!$A$2:$B$26, 2, FALSE)</f>
        <v>208.85</v>
      </c>
      <c r="O48" s="5">
        <f>Table2[[#This Row],[Product Cost(VL)]]*Table2[[#This Row],[Quantity]]</f>
        <v>2923.9</v>
      </c>
      <c r="P48" s="5">
        <f>Table2[[#This Row],[Sales Amount]]-Table2[[#This Row],[ PRODUCT COST]]</f>
        <v>942.61999999999989</v>
      </c>
    </row>
    <row r="49" spans="1:16" x14ac:dyDescent="0.25">
      <c r="A49" t="s">
        <v>128</v>
      </c>
      <c r="B49" s="3">
        <v>45665</v>
      </c>
      <c r="C49" t="s">
        <v>510</v>
      </c>
      <c r="D49" t="s">
        <v>18</v>
      </c>
      <c r="E49" t="s">
        <v>669</v>
      </c>
      <c r="F49" t="s">
        <v>14</v>
      </c>
      <c r="G49" t="s">
        <v>20</v>
      </c>
      <c r="H49" s="4">
        <v>15</v>
      </c>
      <c r="I49" s="5">
        <v>335.06</v>
      </c>
      <c r="J49" s="5">
        <f t="shared" si="0"/>
        <v>5025.8999999999996</v>
      </c>
      <c r="K49" s="10">
        <f>YEAR(Table2[[#This Row],[Order Date]])</f>
        <v>2025</v>
      </c>
      <c r="L49">
        <f>MONTH(Table2[[#This Row],[Order Date]])</f>
        <v>1</v>
      </c>
      <c r="M49">
        <f>WEEKDAY(Table2[[#This Row],[Order Date]])</f>
        <v>4</v>
      </c>
      <c r="N49" s="5">
        <f>VLOOKUP(Table2[[#This Row],[Product]], Product_Lookup!$A$2:$B$26, 2, FALSE)</f>
        <v>178.83</v>
      </c>
      <c r="O49" s="5">
        <f>Table2[[#This Row],[Product Cost(VL)]]*Table2[[#This Row],[Quantity]]</f>
        <v>2682.4500000000003</v>
      </c>
      <c r="P49" s="5">
        <f>Table2[[#This Row],[Sales Amount]]-Table2[[#This Row],[ PRODUCT COST]]</f>
        <v>2343.4499999999994</v>
      </c>
    </row>
    <row r="50" spans="1:16" x14ac:dyDescent="0.25">
      <c r="A50" t="s">
        <v>129</v>
      </c>
      <c r="B50" s="3">
        <v>45666</v>
      </c>
      <c r="C50" t="s">
        <v>511</v>
      </c>
      <c r="D50" t="s">
        <v>18</v>
      </c>
      <c r="E50" t="s">
        <v>13</v>
      </c>
      <c r="F50" t="s">
        <v>14</v>
      </c>
      <c r="G50" t="s">
        <v>20</v>
      </c>
      <c r="H50" s="4">
        <v>5</v>
      </c>
      <c r="I50" s="5">
        <v>148.06</v>
      </c>
      <c r="J50" s="5">
        <f t="shared" si="0"/>
        <v>740.3</v>
      </c>
      <c r="K50" s="10">
        <f>YEAR(Table2[[#This Row],[Order Date]])</f>
        <v>2025</v>
      </c>
      <c r="L50">
        <f>MONTH(Table2[[#This Row],[Order Date]])</f>
        <v>1</v>
      </c>
      <c r="M50">
        <f>WEEKDAY(Table2[[#This Row],[Order Date]])</f>
        <v>5</v>
      </c>
      <c r="N50" s="5">
        <f>VLOOKUP(Table2[[#This Row],[Product]], Product_Lookup!$A$2:$B$26, 2, FALSE)</f>
        <v>178.83</v>
      </c>
      <c r="O50" s="5">
        <f>Table2[[#This Row],[Product Cost(VL)]]*Table2[[#This Row],[Quantity]]</f>
        <v>894.15000000000009</v>
      </c>
      <c r="P50" s="5">
        <f>Table2[[#This Row],[Sales Amount]]-Table2[[#This Row],[ PRODUCT COST]]</f>
        <v>-153.85000000000014</v>
      </c>
    </row>
    <row r="51" spans="1:16" x14ac:dyDescent="0.25">
      <c r="A51" t="s">
        <v>130</v>
      </c>
      <c r="B51" s="3">
        <v>45667</v>
      </c>
      <c r="C51" t="s">
        <v>512</v>
      </c>
      <c r="D51" t="s">
        <v>18</v>
      </c>
      <c r="E51" t="s">
        <v>58</v>
      </c>
      <c r="F51" t="s">
        <v>33</v>
      </c>
      <c r="G51" t="s">
        <v>72</v>
      </c>
      <c r="H51" s="4">
        <v>5</v>
      </c>
      <c r="I51" s="5">
        <v>453.61</v>
      </c>
      <c r="J51" s="5">
        <f t="shared" si="0"/>
        <v>2268.0500000000002</v>
      </c>
      <c r="K51" s="10">
        <f>YEAR(Table2[[#This Row],[Order Date]])</f>
        <v>2025</v>
      </c>
      <c r="L51">
        <f>MONTH(Table2[[#This Row],[Order Date]])</f>
        <v>1</v>
      </c>
      <c r="M51">
        <f>WEEKDAY(Table2[[#This Row],[Order Date]])</f>
        <v>6</v>
      </c>
      <c r="N51" s="5">
        <f>VLOOKUP(Table2[[#This Row],[Product]], Product_Lookup!$A$2:$B$26, 2, FALSE)</f>
        <v>211.9</v>
      </c>
      <c r="O51" s="5">
        <f>Table2[[#This Row],[Product Cost(VL)]]*Table2[[#This Row],[Quantity]]</f>
        <v>1059.5</v>
      </c>
      <c r="P51" s="5">
        <f>Table2[[#This Row],[Sales Amount]]-Table2[[#This Row],[ PRODUCT COST]]</f>
        <v>1208.5500000000002</v>
      </c>
    </row>
    <row r="52" spans="1:16" x14ac:dyDescent="0.25">
      <c r="A52" t="s">
        <v>131</v>
      </c>
      <c r="B52" s="3">
        <v>45668</v>
      </c>
      <c r="C52" t="s">
        <v>513</v>
      </c>
      <c r="D52" t="s">
        <v>12</v>
      </c>
      <c r="E52" t="s">
        <v>28</v>
      </c>
      <c r="F52" t="s">
        <v>33</v>
      </c>
      <c r="G52" t="s">
        <v>74</v>
      </c>
      <c r="H52" s="4">
        <v>6</v>
      </c>
      <c r="I52" s="5">
        <v>387.85</v>
      </c>
      <c r="J52" s="5">
        <f t="shared" si="0"/>
        <v>2327.1000000000004</v>
      </c>
      <c r="K52" s="10">
        <f>YEAR(Table2[[#This Row],[Order Date]])</f>
        <v>2025</v>
      </c>
      <c r="L52">
        <f>MONTH(Table2[[#This Row],[Order Date]])</f>
        <v>1</v>
      </c>
      <c r="M52">
        <f>WEEKDAY(Table2[[#This Row],[Order Date]])</f>
        <v>7</v>
      </c>
      <c r="N52" s="5">
        <f>VLOOKUP(Table2[[#This Row],[Product]], Product_Lookup!$A$2:$B$26, 2, FALSE)</f>
        <v>156.44</v>
      </c>
      <c r="O52" s="5">
        <f>Table2[[#This Row],[Product Cost(VL)]]*Table2[[#This Row],[Quantity]]</f>
        <v>938.64</v>
      </c>
      <c r="P52" s="5">
        <f>Table2[[#This Row],[Sales Amount]]-Table2[[#This Row],[ PRODUCT COST]]</f>
        <v>1388.4600000000005</v>
      </c>
    </row>
    <row r="53" spans="1:16" x14ac:dyDescent="0.25">
      <c r="A53" t="s">
        <v>132</v>
      </c>
      <c r="B53" s="3">
        <v>45669</v>
      </c>
      <c r="C53" t="s">
        <v>514</v>
      </c>
      <c r="D53" t="s">
        <v>23</v>
      </c>
      <c r="E53" t="s">
        <v>58</v>
      </c>
      <c r="F53" t="s">
        <v>37</v>
      </c>
      <c r="G53" t="s">
        <v>111</v>
      </c>
      <c r="H53" s="4">
        <v>7</v>
      </c>
      <c r="I53" s="5">
        <v>284.83999999999997</v>
      </c>
      <c r="J53" s="5">
        <f t="shared" si="0"/>
        <v>1993.8799999999999</v>
      </c>
      <c r="K53" s="10">
        <f>YEAR(Table2[[#This Row],[Order Date]])</f>
        <v>2025</v>
      </c>
      <c r="L53">
        <f>MONTH(Table2[[#This Row],[Order Date]])</f>
        <v>1</v>
      </c>
      <c r="M53">
        <f>WEEKDAY(Table2[[#This Row],[Order Date]])</f>
        <v>1</v>
      </c>
      <c r="N53" s="5">
        <f>VLOOKUP(Table2[[#This Row],[Product]], Product_Lookup!$A$2:$B$26, 2, FALSE)</f>
        <v>81.02</v>
      </c>
      <c r="O53" s="5">
        <f>Table2[[#This Row],[Product Cost(VL)]]*Table2[[#This Row],[Quantity]]</f>
        <v>567.14</v>
      </c>
      <c r="P53" s="5">
        <f>Table2[[#This Row],[Sales Amount]]-Table2[[#This Row],[ PRODUCT COST]]</f>
        <v>1426.7399999999998</v>
      </c>
    </row>
    <row r="54" spans="1:16" x14ac:dyDescent="0.25">
      <c r="A54" t="s">
        <v>134</v>
      </c>
      <c r="B54" s="3">
        <v>45670</v>
      </c>
      <c r="C54" t="s">
        <v>515</v>
      </c>
      <c r="D54" t="s">
        <v>18</v>
      </c>
      <c r="E54" t="s">
        <v>58</v>
      </c>
      <c r="F54" t="s">
        <v>24</v>
      </c>
      <c r="G54" t="s">
        <v>25</v>
      </c>
      <c r="H54" s="4">
        <v>10</v>
      </c>
      <c r="I54" s="5">
        <v>280.74</v>
      </c>
      <c r="J54" s="5">
        <f t="shared" si="0"/>
        <v>2807.4</v>
      </c>
      <c r="K54" s="10">
        <f>YEAR(Table2[[#This Row],[Order Date]])</f>
        <v>2025</v>
      </c>
      <c r="L54">
        <f>MONTH(Table2[[#This Row],[Order Date]])</f>
        <v>1</v>
      </c>
      <c r="M54">
        <f>WEEKDAY(Table2[[#This Row],[Order Date]])</f>
        <v>2</v>
      </c>
      <c r="N54" s="5">
        <f>VLOOKUP(Table2[[#This Row],[Product]], Product_Lookup!$A$2:$B$26, 2, FALSE)</f>
        <v>88.18</v>
      </c>
      <c r="O54" s="5">
        <f>Table2[[#This Row],[Product Cost(VL)]]*Table2[[#This Row],[Quantity]]</f>
        <v>881.80000000000007</v>
      </c>
      <c r="P54" s="5">
        <f>Table2[[#This Row],[Sales Amount]]-Table2[[#This Row],[ PRODUCT COST]]</f>
        <v>1925.6</v>
      </c>
    </row>
    <row r="55" spans="1:16" x14ac:dyDescent="0.25">
      <c r="A55" t="s">
        <v>136</v>
      </c>
      <c r="B55" s="3">
        <v>45671</v>
      </c>
      <c r="C55" t="s">
        <v>516</v>
      </c>
      <c r="D55" t="s">
        <v>12</v>
      </c>
      <c r="E55" t="s">
        <v>13</v>
      </c>
      <c r="F55" t="s">
        <v>33</v>
      </c>
      <c r="G55" t="s">
        <v>34</v>
      </c>
      <c r="H55" s="4">
        <v>15</v>
      </c>
      <c r="I55" s="5">
        <v>185.33</v>
      </c>
      <c r="J55" s="5">
        <f t="shared" si="0"/>
        <v>2779.9500000000003</v>
      </c>
      <c r="K55" s="10">
        <f>YEAR(Table2[[#This Row],[Order Date]])</f>
        <v>2025</v>
      </c>
      <c r="L55">
        <f>MONTH(Table2[[#This Row],[Order Date]])</f>
        <v>1</v>
      </c>
      <c r="M55">
        <f>WEEKDAY(Table2[[#This Row],[Order Date]])</f>
        <v>3</v>
      </c>
      <c r="N55" s="5">
        <f>VLOOKUP(Table2[[#This Row],[Product]], Product_Lookup!$A$2:$B$26, 2, FALSE)</f>
        <v>230.34</v>
      </c>
      <c r="O55" s="5">
        <f>Table2[[#This Row],[Product Cost(VL)]]*Table2[[#This Row],[Quantity]]</f>
        <v>3455.1</v>
      </c>
      <c r="P55" s="5">
        <f>Table2[[#This Row],[Sales Amount]]-Table2[[#This Row],[ PRODUCT COST]]</f>
        <v>-675.14999999999964</v>
      </c>
    </row>
    <row r="56" spans="1:16" x14ac:dyDescent="0.25">
      <c r="A56" t="s">
        <v>137</v>
      </c>
      <c r="B56" s="3">
        <v>45672</v>
      </c>
      <c r="C56" t="s">
        <v>517</v>
      </c>
      <c r="D56" t="s">
        <v>18</v>
      </c>
      <c r="E56" t="s">
        <v>13</v>
      </c>
      <c r="F56" t="s">
        <v>33</v>
      </c>
      <c r="G56" t="s">
        <v>72</v>
      </c>
      <c r="H56" s="4">
        <v>10</v>
      </c>
      <c r="I56" s="5">
        <v>377.24</v>
      </c>
      <c r="J56" s="5">
        <f t="shared" si="0"/>
        <v>3772.4</v>
      </c>
      <c r="K56" s="10">
        <f>YEAR(Table2[[#This Row],[Order Date]])</f>
        <v>2025</v>
      </c>
      <c r="L56">
        <f>MONTH(Table2[[#This Row],[Order Date]])</f>
        <v>1</v>
      </c>
      <c r="M56">
        <f>WEEKDAY(Table2[[#This Row],[Order Date]])</f>
        <v>4</v>
      </c>
      <c r="N56" s="5">
        <f>VLOOKUP(Table2[[#This Row],[Product]], Product_Lookup!$A$2:$B$26, 2, FALSE)</f>
        <v>211.9</v>
      </c>
      <c r="O56" s="5">
        <f>Table2[[#This Row],[Product Cost(VL)]]*Table2[[#This Row],[Quantity]]</f>
        <v>2119</v>
      </c>
      <c r="P56" s="5">
        <f>Table2[[#This Row],[Sales Amount]]-Table2[[#This Row],[ PRODUCT COST]]</f>
        <v>1653.4</v>
      </c>
    </row>
    <row r="57" spans="1:16" x14ac:dyDescent="0.25">
      <c r="A57" t="s">
        <v>138</v>
      </c>
      <c r="B57" s="3">
        <v>45673</v>
      </c>
      <c r="C57" t="s">
        <v>518</v>
      </c>
      <c r="D57" t="s">
        <v>12</v>
      </c>
      <c r="E57" t="s">
        <v>58</v>
      </c>
      <c r="F57" t="s">
        <v>37</v>
      </c>
      <c r="G57" t="s">
        <v>38</v>
      </c>
      <c r="H57" s="4">
        <v>12</v>
      </c>
      <c r="I57" s="5">
        <v>463</v>
      </c>
      <c r="J57" s="5">
        <f t="shared" si="0"/>
        <v>5556</v>
      </c>
      <c r="K57" s="10">
        <f>YEAR(Table2[[#This Row],[Order Date]])</f>
        <v>2025</v>
      </c>
      <c r="L57">
        <f>MONTH(Table2[[#This Row],[Order Date]])</f>
        <v>1</v>
      </c>
      <c r="M57">
        <f>WEEKDAY(Table2[[#This Row],[Order Date]])</f>
        <v>5</v>
      </c>
      <c r="N57" s="5">
        <f>VLOOKUP(Table2[[#This Row],[Product]], Product_Lookup!$A$2:$B$26, 2, FALSE)</f>
        <v>64.61</v>
      </c>
      <c r="O57" s="5">
        <f>Table2[[#This Row],[Product Cost(VL)]]*Table2[[#This Row],[Quantity]]</f>
        <v>775.31999999999994</v>
      </c>
      <c r="P57" s="5">
        <f>Table2[[#This Row],[Sales Amount]]-Table2[[#This Row],[ PRODUCT COST]]</f>
        <v>4780.68</v>
      </c>
    </row>
    <row r="58" spans="1:16" x14ac:dyDescent="0.25">
      <c r="A58" t="s">
        <v>139</v>
      </c>
      <c r="B58" s="3">
        <v>45674</v>
      </c>
      <c r="C58" t="s">
        <v>519</v>
      </c>
      <c r="D58" t="s">
        <v>12</v>
      </c>
      <c r="E58" t="s">
        <v>58</v>
      </c>
      <c r="F58" t="s">
        <v>33</v>
      </c>
      <c r="G58" t="s">
        <v>51</v>
      </c>
      <c r="H58" s="4">
        <v>2</v>
      </c>
      <c r="I58" s="5">
        <v>197.45</v>
      </c>
      <c r="J58" s="5">
        <f t="shared" si="0"/>
        <v>394.9</v>
      </c>
      <c r="K58" s="10">
        <f>YEAR(Table2[[#This Row],[Order Date]])</f>
        <v>2025</v>
      </c>
      <c r="L58">
        <f>MONTH(Table2[[#This Row],[Order Date]])</f>
        <v>1</v>
      </c>
      <c r="M58">
        <f>WEEKDAY(Table2[[#This Row],[Order Date]])</f>
        <v>6</v>
      </c>
      <c r="N58" s="5">
        <f>VLOOKUP(Table2[[#This Row],[Product]], Product_Lookup!$A$2:$B$26, 2, FALSE)</f>
        <v>208.85</v>
      </c>
      <c r="O58" s="5">
        <f>Table2[[#This Row],[Product Cost(VL)]]*Table2[[#This Row],[Quantity]]</f>
        <v>417.7</v>
      </c>
      <c r="P58" s="5">
        <f>Table2[[#This Row],[Sales Amount]]-Table2[[#This Row],[ PRODUCT COST]]</f>
        <v>-22.800000000000011</v>
      </c>
    </row>
    <row r="59" spans="1:16" x14ac:dyDescent="0.25">
      <c r="A59" t="s">
        <v>141</v>
      </c>
      <c r="B59" s="3">
        <v>45675</v>
      </c>
      <c r="C59" t="s">
        <v>520</v>
      </c>
      <c r="D59" t="s">
        <v>12</v>
      </c>
      <c r="E59" t="s">
        <v>58</v>
      </c>
      <c r="F59" t="s">
        <v>29</v>
      </c>
      <c r="G59" t="s">
        <v>30</v>
      </c>
      <c r="H59" s="4">
        <v>5</v>
      </c>
      <c r="I59" s="5">
        <v>412.06</v>
      </c>
      <c r="J59" s="5">
        <f t="shared" si="0"/>
        <v>2060.3000000000002</v>
      </c>
      <c r="K59" s="10">
        <f>YEAR(Table2[[#This Row],[Order Date]])</f>
        <v>2025</v>
      </c>
      <c r="L59">
        <f>MONTH(Table2[[#This Row],[Order Date]])</f>
        <v>1</v>
      </c>
      <c r="M59">
        <f>WEEKDAY(Table2[[#This Row],[Order Date]])</f>
        <v>7</v>
      </c>
      <c r="N59" s="5">
        <f>VLOOKUP(Table2[[#This Row],[Product]], Product_Lookup!$A$2:$B$26, 2, FALSE)</f>
        <v>84.57</v>
      </c>
      <c r="O59" s="5">
        <f>Table2[[#This Row],[Product Cost(VL)]]*Table2[[#This Row],[Quantity]]</f>
        <v>422.84999999999997</v>
      </c>
      <c r="P59" s="5">
        <f>Table2[[#This Row],[Sales Amount]]-Table2[[#This Row],[ PRODUCT COST]]</f>
        <v>1637.4500000000003</v>
      </c>
    </row>
    <row r="60" spans="1:16" x14ac:dyDescent="0.25">
      <c r="A60" t="s">
        <v>142</v>
      </c>
      <c r="B60" s="3">
        <v>45676</v>
      </c>
      <c r="C60" t="s">
        <v>521</v>
      </c>
      <c r="D60" t="s">
        <v>18</v>
      </c>
      <c r="E60" t="s">
        <v>13</v>
      </c>
      <c r="F60" t="s">
        <v>29</v>
      </c>
      <c r="G60" t="s">
        <v>30</v>
      </c>
      <c r="H60" s="4">
        <v>5</v>
      </c>
      <c r="I60" s="5">
        <v>433.53</v>
      </c>
      <c r="J60" s="5">
        <f t="shared" si="0"/>
        <v>2167.6499999999996</v>
      </c>
      <c r="K60" s="10">
        <f>YEAR(Table2[[#This Row],[Order Date]])</f>
        <v>2025</v>
      </c>
      <c r="L60">
        <f>MONTH(Table2[[#This Row],[Order Date]])</f>
        <v>1</v>
      </c>
      <c r="M60">
        <f>WEEKDAY(Table2[[#This Row],[Order Date]])</f>
        <v>1</v>
      </c>
      <c r="N60" s="5">
        <f>VLOOKUP(Table2[[#This Row],[Product]], Product_Lookup!$A$2:$B$26, 2, FALSE)</f>
        <v>84.57</v>
      </c>
      <c r="O60" s="5">
        <f>Table2[[#This Row],[Product Cost(VL)]]*Table2[[#This Row],[Quantity]]</f>
        <v>422.84999999999997</v>
      </c>
      <c r="P60" s="5">
        <f>Table2[[#This Row],[Sales Amount]]-Table2[[#This Row],[ PRODUCT COST]]</f>
        <v>1744.7999999999997</v>
      </c>
    </row>
    <row r="61" spans="1:16" x14ac:dyDescent="0.25">
      <c r="A61" t="s">
        <v>143</v>
      </c>
      <c r="B61" s="3">
        <v>45677</v>
      </c>
      <c r="C61" t="s">
        <v>522</v>
      </c>
      <c r="D61" t="s">
        <v>23</v>
      </c>
      <c r="E61" t="s">
        <v>43</v>
      </c>
      <c r="F61" t="s">
        <v>24</v>
      </c>
      <c r="G61" t="s">
        <v>86</v>
      </c>
      <c r="H61" s="4">
        <v>14</v>
      </c>
      <c r="I61" s="5">
        <v>272.75</v>
      </c>
      <c r="J61" s="5">
        <f t="shared" si="0"/>
        <v>3818.5</v>
      </c>
      <c r="K61" s="10">
        <f>YEAR(Table2[[#This Row],[Order Date]])</f>
        <v>2025</v>
      </c>
      <c r="L61">
        <f>MONTH(Table2[[#This Row],[Order Date]])</f>
        <v>1</v>
      </c>
      <c r="M61">
        <f>WEEKDAY(Table2[[#This Row],[Order Date]])</f>
        <v>2</v>
      </c>
      <c r="N61" s="5">
        <f>VLOOKUP(Table2[[#This Row],[Product]], Product_Lookup!$A$2:$B$26, 2, FALSE)</f>
        <v>130.07</v>
      </c>
      <c r="O61" s="5">
        <f>Table2[[#This Row],[Product Cost(VL)]]*Table2[[#This Row],[Quantity]]</f>
        <v>1820.98</v>
      </c>
      <c r="P61" s="5">
        <f>Table2[[#This Row],[Sales Amount]]-Table2[[#This Row],[ PRODUCT COST]]</f>
        <v>1997.52</v>
      </c>
    </row>
    <row r="62" spans="1:16" x14ac:dyDescent="0.25">
      <c r="A62" t="s">
        <v>145</v>
      </c>
      <c r="B62" s="3">
        <v>45678</v>
      </c>
      <c r="C62" t="s">
        <v>523</v>
      </c>
      <c r="D62" t="s">
        <v>18</v>
      </c>
      <c r="E62" t="s">
        <v>43</v>
      </c>
      <c r="F62" t="s">
        <v>29</v>
      </c>
      <c r="G62" t="s">
        <v>76</v>
      </c>
      <c r="H62" s="4">
        <v>1</v>
      </c>
      <c r="I62" s="5">
        <v>63.12</v>
      </c>
      <c r="J62" s="5">
        <f t="shared" si="0"/>
        <v>63.12</v>
      </c>
      <c r="K62" s="10">
        <f>YEAR(Table2[[#This Row],[Order Date]])</f>
        <v>2025</v>
      </c>
      <c r="L62">
        <f>MONTH(Table2[[#This Row],[Order Date]])</f>
        <v>1</v>
      </c>
      <c r="M62">
        <f>WEEKDAY(Table2[[#This Row],[Order Date]])</f>
        <v>3</v>
      </c>
      <c r="N62" s="5">
        <f>VLOOKUP(Table2[[#This Row],[Product]], Product_Lookup!$A$2:$B$26, 2, FALSE)</f>
        <v>201.32</v>
      </c>
      <c r="O62" s="5">
        <f>Table2[[#This Row],[Product Cost(VL)]]*Table2[[#This Row],[Quantity]]</f>
        <v>201.32</v>
      </c>
      <c r="P62" s="5">
        <f>Table2[[#This Row],[Sales Amount]]-Table2[[#This Row],[ PRODUCT COST]]</f>
        <v>-138.19999999999999</v>
      </c>
    </row>
    <row r="63" spans="1:16" x14ac:dyDescent="0.25">
      <c r="A63" t="s">
        <v>146</v>
      </c>
      <c r="B63" s="3">
        <v>45679</v>
      </c>
      <c r="C63" t="s">
        <v>524</v>
      </c>
      <c r="D63" t="s">
        <v>23</v>
      </c>
      <c r="E63" t="s">
        <v>43</v>
      </c>
      <c r="F63" t="s">
        <v>37</v>
      </c>
      <c r="G63" t="s">
        <v>111</v>
      </c>
      <c r="H63" s="4">
        <v>2</v>
      </c>
      <c r="I63" s="5">
        <v>198.75</v>
      </c>
      <c r="J63" s="5">
        <f t="shared" si="0"/>
        <v>397.5</v>
      </c>
      <c r="K63" s="10">
        <f>YEAR(Table2[[#This Row],[Order Date]])</f>
        <v>2025</v>
      </c>
      <c r="L63">
        <f>MONTH(Table2[[#This Row],[Order Date]])</f>
        <v>1</v>
      </c>
      <c r="M63">
        <f>WEEKDAY(Table2[[#This Row],[Order Date]])</f>
        <v>4</v>
      </c>
      <c r="N63" s="5">
        <f>VLOOKUP(Table2[[#This Row],[Product]], Product_Lookup!$A$2:$B$26, 2, FALSE)</f>
        <v>81.02</v>
      </c>
      <c r="O63" s="5">
        <f>Table2[[#This Row],[Product Cost(VL)]]*Table2[[#This Row],[Quantity]]</f>
        <v>162.04</v>
      </c>
      <c r="P63" s="5">
        <f>Table2[[#This Row],[Sales Amount]]-Table2[[#This Row],[ PRODUCT COST]]</f>
        <v>235.46</v>
      </c>
    </row>
    <row r="64" spans="1:16" x14ac:dyDescent="0.25">
      <c r="A64" t="s">
        <v>147</v>
      </c>
      <c r="B64" s="3">
        <v>45680</v>
      </c>
      <c r="C64" t="s">
        <v>525</v>
      </c>
      <c r="D64" t="s">
        <v>18</v>
      </c>
      <c r="E64" t="s">
        <v>43</v>
      </c>
      <c r="F64" t="s">
        <v>14</v>
      </c>
      <c r="G64" t="s">
        <v>104</v>
      </c>
      <c r="H64" s="4">
        <v>9</v>
      </c>
      <c r="I64" s="5">
        <v>463.53</v>
      </c>
      <c r="J64" s="5">
        <f t="shared" si="0"/>
        <v>4171.7699999999995</v>
      </c>
      <c r="K64" s="10">
        <f>YEAR(Table2[[#This Row],[Order Date]])</f>
        <v>2025</v>
      </c>
      <c r="L64">
        <f>MONTH(Table2[[#This Row],[Order Date]])</f>
        <v>1</v>
      </c>
      <c r="M64">
        <f>WEEKDAY(Table2[[#This Row],[Order Date]])</f>
        <v>5</v>
      </c>
      <c r="N64" s="5">
        <f>VLOOKUP(Table2[[#This Row],[Product]], Product_Lookup!$A$2:$B$26, 2, FALSE)</f>
        <v>145.47999999999999</v>
      </c>
      <c r="O64" s="5">
        <f>Table2[[#This Row],[Product Cost(VL)]]*Table2[[#This Row],[Quantity]]</f>
        <v>1309.32</v>
      </c>
      <c r="P64" s="5">
        <f>Table2[[#This Row],[Sales Amount]]-Table2[[#This Row],[ PRODUCT COST]]</f>
        <v>2862.45</v>
      </c>
    </row>
    <row r="65" spans="1:16" x14ac:dyDescent="0.25">
      <c r="A65" t="s">
        <v>148</v>
      </c>
      <c r="B65" s="3">
        <v>45681</v>
      </c>
      <c r="C65" t="s">
        <v>526</v>
      </c>
      <c r="D65" t="s">
        <v>12</v>
      </c>
      <c r="E65" t="s">
        <v>58</v>
      </c>
      <c r="F65" t="s">
        <v>33</v>
      </c>
      <c r="G65" t="s">
        <v>89</v>
      </c>
      <c r="H65" s="4">
        <v>11</v>
      </c>
      <c r="I65" s="5">
        <v>461.18</v>
      </c>
      <c r="J65" s="5">
        <f t="shared" si="0"/>
        <v>5072.9800000000005</v>
      </c>
      <c r="K65" s="10">
        <f>YEAR(Table2[[#This Row],[Order Date]])</f>
        <v>2025</v>
      </c>
      <c r="L65">
        <f>MONTH(Table2[[#This Row],[Order Date]])</f>
        <v>1</v>
      </c>
      <c r="M65">
        <f>WEEKDAY(Table2[[#This Row],[Order Date]])</f>
        <v>6</v>
      </c>
      <c r="N65" s="5">
        <f>VLOOKUP(Table2[[#This Row],[Product]], Product_Lookup!$A$2:$B$26, 2, FALSE)</f>
        <v>26.59</v>
      </c>
      <c r="O65" s="5">
        <f>Table2[[#This Row],[Product Cost(VL)]]*Table2[[#This Row],[Quantity]]</f>
        <v>292.49</v>
      </c>
      <c r="P65" s="5">
        <f>Table2[[#This Row],[Sales Amount]]-Table2[[#This Row],[ PRODUCT COST]]</f>
        <v>4780.4900000000007</v>
      </c>
    </row>
    <row r="66" spans="1:16" x14ac:dyDescent="0.25">
      <c r="A66" t="s">
        <v>150</v>
      </c>
      <c r="B66" s="3">
        <v>45682</v>
      </c>
      <c r="C66" t="s">
        <v>527</v>
      </c>
      <c r="D66" t="s">
        <v>18</v>
      </c>
      <c r="E66" t="s">
        <v>13</v>
      </c>
      <c r="F66" t="s">
        <v>33</v>
      </c>
      <c r="G66" t="s">
        <v>72</v>
      </c>
      <c r="H66" s="4">
        <v>11</v>
      </c>
      <c r="I66" s="5">
        <v>210.11</v>
      </c>
      <c r="J66" s="5">
        <f t="shared" si="0"/>
        <v>2311.21</v>
      </c>
      <c r="K66" s="10">
        <f>YEAR(Table2[[#This Row],[Order Date]])</f>
        <v>2025</v>
      </c>
      <c r="L66">
        <f>MONTH(Table2[[#This Row],[Order Date]])</f>
        <v>1</v>
      </c>
      <c r="M66">
        <f>WEEKDAY(Table2[[#This Row],[Order Date]])</f>
        <v>7</v>
      </c>
      <c r="N66" s="5">
        <f>VLOOKUP(Table2[[#This Row],[Product]], Product_Lookup!$A$2:$B$26, 2, FALSE)</f>
        <v>211.9</v>
      </c>
      <c r="O66" s="5">
        <f>Table2[[#This Row],[Product Cost(VL)]]*Table2[[#This Row],[Quantity]]</f>
        <v>2330.9</v>
      </c>
      <c r="P66" s="5">
        <f>Table2[[#This Row],[Sales Amount]]-Table2[[#This Row],[ PRODUCT COST]]</f>
        <v>-19.690000000000055</v>
      </c>
    </row>
    <row r="67" spans="1:16" x14ac:dyDescent="0.25">
      <c r="A67" t="s">
        <v>151</v>
      </c>
      <c r="B67" s="3">
        <v>45683</v>
      </c>
      <c r="C67" t="s">
        <v>528</v>
      </c>
      <c r="D67" t="s">
        <v>12</v>
      </c>
      <c r="E67" t="s">
        <v>43</v>
      </c>
      <c r="F67" t="s">
        <v>24</v>
      </c>
      <c r="G67" t="s">
        <v>44</v>
      </c>
      <c r="H67" s="4">
        <v>7</v>
      </c>
      <c r="I67" s="5">
        <v>335.82</v>
      </c>
      <c r="J67" s="5">
        <f t="shared" si="0"/>
        <v>2350.7399999999998</v>
      </c>
      <c r="K67" s="10">
        <f>YEAR(Table2[[#This Row],[Order Date]])</f>
        <v>2025</v>
      </c>
      <c r="L67">
        <f>MONTH(Table2[[#This Row],[Order Date]])</f>
        <v>1</v>
      </c>
      <c r="M67">
        <f>WEEKDAY(Table2[[#This Row],[Order Date]])</f>
        <v>1</v>
      </c>
      <c r="N67" s="5">
        <f>VLOOKUP(Table2[[#This Row],[Product]], Product_Lookup!$A$2:$B$26, 2, FALSE)</f>
        <v>86.6</v>
      </c>
      <c r="O67" s="5">
        <f>Table2[[#This Row],[Product Cost(VL)]]*Table2[[#This Row],[Quantity]]</f>
        <v>606.19999999999993</v>
      </c>
      <c r="P67" s="5">
        <f>Table2[[#This Row],[Sales Amount]]-Table2[[#This Row],[ PRODUCT COST]]</f>
        <v>1744.54</v>
      </c>
    </row>
    <row r="68" spans="1:16" x14ac:dyDescent="0.25">
      <c r="A68" t="s">
        <v>153</v>
      </c>
      <c r="B68" s="3">
        <v>45684</v>
      </c>
      <c r="C68" t="s">
        <v>529</v>
      </c>
      <c r="D68" t="s">
        <v>18</v>
      </c>
      <c r="E68" t="s">
        <v>58</v>
      </c>
      <c r="F68" t="s">
        <v>154</v>
      </c>
      <c r="G68" t="s">
        <v>121</v>
      </c>
      <c r="H68" s="4">
        <v>7</v>
      </c>
      <c r="I68" s="5">
        <v>278.49</v>
      </c>
      <c r="J68" s="5">
        <f t="shared" ref="J68:J131" si="1">I68*H68</f>
        <v>1949.43</v>
      </c>
      <c r="K68" s="10">
        <f>YEAR(Table2[[#This Row],[Order Date]])</f>
        <v>2025</v>
      </c>
      <c r="L68">
        <f>MONTH(Table2[[#This Row],[Order Date]])</f>
        <v>1</v>
      </c>
      <c r="M68">
        <f>WEEKDAY(Table2[[#This Row],[Order Date]])</f>
        <v>2</v>
      </c>
      <c r="N68" s="5">
        <f>VLOOKUP(Table2[[#This Row],[Product]], Product_Lookup!$A$2:$B$26, 2, FALSE)</f>
        <v>32.94</v>
      </c>
      <c r="O68" s="5">
        <f>Table2[[#This Row],[Product Cost(VL)]]*Table2[[#This Row],[Quantity]]</f>
        <v>230.57999999999998</v>
      </c>
      <c r="P68" s="5">
        <f>Table2[[#This Row],[Sales Amount]]-Table2[[#This Row],[ PRODUCT COST]]</f>
        <v>1718.8500000000001</v>
      </c>
    </row>
    <row r="69" spans="1:16" x14ac:dyDescent="0.25">
      <c r="A69" t="s">
        <v>155</v>
      </c>
      <c r="B69" s="3">
        <v>45685</v>
      </c>
      <c r="C69" t="s">
        <v>530</v>
      </c>
      <c r="D69" t="s">
        <v>23</v>
      </c>
      <c r="E69" t="s">
        <v>43</v>
      </c>
      <c r="F69" t="s">
        <v>29</v>
      </c>
      <c r="G69" t="s">
        <v>30</v>
      </c>
      <c r="H69" s="4">
        <v>10</v>
      </c>
      <c r="I69" s="5">
        <v>330.81</v>
      </c>
      <c r="J69" s="5">
        <f t="shared" si="1"/>
        <v>3308.1</v>
      </c>
      <c r="K69" s="10">
        <f>YEAR(Table2[[#This Row],[Order Date]])</f>
        <v>2025</v>
      </c>
      <c r="L69">
        <f>MONTH(Table2[[#This Row],[Order Date]])</f>
        <v>1</v>
      </c>
      <c r="M69">
        <f>WEEKDAY(Table2[[#This Row],[Order Date]])</f>
        <v>3</v>
      </c>
      <c r="N69" s="5">
        <f>VLOOKUP(Table2[[#This Row],[Product]], Product_Lookup!$A$2:$B$26, 2, FALSE)</f>
        <v>84.57</v>
      </c>
      <c r="O69" s="5">
        <f>Table2[[#This Row],[Product Cost(VL)]]*Table2[[#This Row],[Quantity]]</f>
        <v>845.69999999999993</v>
      </c>
      <c r="P69" s="5">
        <f>Table2[[#This Row],[Sales Amount]]-Table2[[#This Row],[ PRODUCT COST]]</f>
        <v>2462.4</v>
      </c>
    </row>
    <row r="70" spans="1:16" x14ac:dyDescent="0.25">
      <c r="A70" t="s">
        <v>156</v>
      </c>
      <c r="B70" s="3">
        <v>45686</v>
      </c>
      <c r="C70" t="s">
        <v>531</v>
      </c>
      <c r="D70" t="s">
        <v>18</v>
      </c>
      <c r="E70" t="s">
        <v>28</v>
      </c>
      <c r="F70" t="s">
        <v>29</v>
      </c>
      <c r="G70" t="s">
        <v>76</v>
      </c>
      <c r="H70" s="4">
        <v>13</v>
      </c>
      <c r="I70" s="5">
        <v>451.58</v>
      </c>
      <c r="J70" s="5">
        <f t="shared" si="1"/>
        <v>5870.54</v>
      </c>
      <c r="K70" s="10">
        <f>YEAR(Table2[[#This Row],[Order Date]])</f>
        <v>2025</v>
      </c>
      <c r="L70">
        <f>MONTH(Table2[[#This Row],[Order Date]])</f>
        <v>1</v>
      </c>
      <c r="M70">
        <f>WEEKDAY(Table2[[#This Row],[Order Date]])</f>
        <v>4</v>
      </c>
      <c r="N70" s="5">
        <f>VLOOKUP(Table2[[#This Row],[Product]], Product_Lookup!$A$2:$B$26, 2, FALSE)</f>
        <v>201.32</v>
      </c>
      <c r="O70" s="5">
        <f>Table2[[#This Row],[Product Cost(VL)]]*Table2[[#This Row],[Quantity]]</f>
        <v>2617.16</v>
      </c>
      <c r="P70" s="5">
        <f>Table2[[#This Row],[Sales Amount]]-Table2[[#This Row],[ PRODUCT COST]]</f>
        <v>3253.38</v>
      </c>
    </row>
    <row r="71" spans="1:16" x14ac:dyDescent="0.25">
      <c r="A71" t="s">
        <v>157</v>
      </c>
      <c r="B71" s="3">
        <v>45687</v>
      </c>
      <c r="C71" t="s">
        <v>532</v>
      </c>
      <c r="D71" t="s">
        <v>23</v>
      </c>
      <c r="E71" t="s">
        <v>13</v>
      </c>
      <c r="F71" t="s">
        <v>50</v>
      </c>
      <c r="G71" t="s">
        <v>72</v>
      </c>
      <c r="H71" s="4">
        <v>11</v>
      </c>
      <c r="I71" s="5">
        <v>313.44</v>
      </c>
      <c r="J71" s="5">
        <f t="shared" si="1"/>
        <v>3447.84</v>
      </c>
      <c r="K71" s="10">
        <f>YEAR(Table2[[#This Row],[Order Date]])</f>
        <v>2025</v>
      </c>
      <c r="L71">
        <f>MONTH(Table2[[#This Row],[Order Date]])</f>
        <v>1</v>
      </c>
      <c r="M71">
        <f>WEEKDAY(Table2[[#This Row],[Order Date]])</f>
        <v>5</v>
      </c>
      <c r="N71" s="5">
        <f>VLOOKUP(Table2[[#This Row],[Product]], Product_Lookup!$A$2:$B$26, 2, FALSE)</f>
        <v>211.9</v>
      </c>
      <c r="O71" s="5">
        <f>Table2[[#This Row],[Product Cost(VL)]]*Table2[[#This Row],[Quantity]]</f>
        <v>2330.9</v>
      </c>
      <c r="P71" s="5">
        <f>Table2[[#This Row],[Sales Amount]]-Table2[[#This Row],[ PRODUCT COST]]</f>
        <v>1116.94</v>
      </c>
    </row>
    <row r="72" spans="1:16" x14ac:dyDescent="0.25">
      <c r="A72" t="s">
        <v>158</v>
      </c>
      <c r="B72" s="3">
        <v>45688</v>
      </c>
      <c r="C72" t="s">
        <v>533</v>
      </c>
      <c r="D72" t="s">
        <v>12</v>
      </c>
      <c r="E72" t="s">
        <v>43</v>
      </c>
      <c r="F72" t="s">
        <v>29</v>
      </c>
      <c r="G72" t="s">
        <v>68</v>
      </c>
      <c r="H72" s="4">
        <v>1</v>
      </c>
      <c r="I72" s="5">
        <v>32.64</v>
      </c>
      <c r="J72" s="5">
        <f t="shared" si="1"/>
        <v>32.64</v>
      </c>
      <c r="K72" s="10">
        <f>YEAR(Table2[[#This Row],[Order Date]])</f>
        <v>2025</v>
      </c>
      <c r="L72">
        <f>MONTH(Table2[[#This Row],[Order Date]])</f>
        <v>1</v>
      </c>
      <c r="M72">
        <f>WEEKDAY(Table2[[#This Row],[Order Date]])</f>
        <v>6</v>
      </c>
      <c r="N72" s="5">
        <f>VLOOKUP(Table2[[#This Row],[Product]], Product_Lookup!$A$2:$B$26, 2, FALSE)</f>
        <v>33.22</v>
      </c>
      <c r="O72" s="5">
        <f>Table2[[#This Row],[Product Cost(VL)]]*Table2[[#This Row],[Quantity]]</f>
        <v>33.22</v>
      </c>
      <c r="P72" s="5">
        <f>Table2[[#This Row],[Sales Amount]]-Table2[[#This Row],[ PRODUCT COST]]</f>
        <v>-0.57999999999999829</v>
      </c>
    </row>
    <row r="73" spans="1:16" x14ac:dyDescent="0.25">
      <c r="A73" t="s">
        <v>159</v>
      </c>
      <c r="B73" s="3">
        <v>45689</v>
      </c>
      <c r="C73" t="s">
        <v>534</v>
      </c>
      <c r="D73" t="s">
        <v>23</v>
      </c>
      <c r="E73" t="s">
        <v>13</v>
      </c>
      <c r="F73" t="s">
        <v>37</v>
      </c>
      <c r="G73" t="s">
        <v>61</v>
      </c>
      <c r="H73" s="4">
        <v>10</v>
      </c>
      <c r="I73" s="5">
        <v>105.27</v>
      </c>
      <c r="J73" s="5">
        <f t="shared" si="1"/>
        <v>1052.7</v>
      </c>
      <c r="K73" s="10">
        <f>YEAR(Table2[[#This Row],[Order Date]])</f>
        <v>2025</v>
      </c>
      <c r="L73">
        <f>MONTH(Table2[[#This Row],[Order Date]])</f>
        <v>2</v>
      </c>
      <c r="M73">
        <f>WEEKDAY(Table2[[#This Row],[Order Date]])</f>
        <v>7</v>
      </c>
      <c r="N73" s="5">
        <f>VLOOKUP(Table2[[#This Row],[Product]], Product_Lookup!$A$2:$B$26, 2, FALSE)</f>
        <v>101.96</v>
      </c>
      <c r="O73" s="5">
        <f>Table2[[#This Row],[Product Cost(VL)]]*Table2[[#This Row],[Quantity]]</f>
        <v>1019.5999999999999</v>
      </c>
      <c r="P73" s="5">
        <f>Table2[[#This Row],[Sales Amount]]-Table2[[#This Row],[ PRODUCT COST]]</f>
        <v>33.100000000000136</v>
      </c>
    </row>
    <row r="74" spans="1:16" x14ac:dyDescent="0.25">
      <c r="A74" t="s">
        <v>160</v>
      </c>
      <c r="B74" s="3">
        <v>45690</v>
      </c>
      <c r="C74" t="s">
        <v>535</v>
      </c>
      <c r="D74" t="s">
        <v>12</v>
      </c>
      <c r="E74" t="s">
        <v>28</v>
      </c>
      <c r="F74" t="s">
        <v>37</v>
      </c>
      <c r="G74" t="s">
        <v>162</v>
      </c>
      <c r="H74" s="4">
        <v>11</v>
      </c>
      <c r="I74" s="5">
        <v>346.93</v>
      </c>
      <c r="J74" s="5">
        <f t="shared" si="1"/>
        <v>3816.23</v>
      </c>
      <c r="K74" s="10">
        <f>YEAR(Table2[[#This Row],[Order Date]])</f>
        <v>2025</v>
      </c>
      <c r="L74">
        <f>MONTH(Table2[[#This Row],[Order Date]])</f>
        <v>2</v>
      </c>
      <c r="M74">
        <f>WEEKDAY(Table2[[#This Row],[Order Date]])</f>
        <v>1</v>
      </c>
      <c r="N74" s="5">
        <f>VLOOKUP(Table2[[#This Row],[Product]], Product_Lookup!$A$2:$B$26, 2, FALSE)</f>
        <v>149.27000000000001</v>
      </c>
      <c r="O74" s="5">
        <f>Table2[[#This Row],[Product Cost(VL)]]*Table2[[#This Row],[Quantity]]</f>
        <v>1641.97</v>
      </c>
      <c r="P74" s="5">
        <f>Table2[[#This Row],[Sales Amount]]-Table2[[#This Row],[ PRODUCT COST]]</f>
        <v>2174.2600000000002</v>
      </c>
    </row>
    <row r="75" spans="1:16" x14ac:dyDescent="0.25">
      <c r="A75" t="s">
        <v>163</v>
      </c>
      <c r="B75" s="3">
        <v>45691</v>
      </c>
      <c r="C75" t="s">
        <v>536</v>
      </c>
      <c r="D75" t="s">
        <v>23</v>
      </c>
      <c r="E75" t="s">
        <v>28</v>
      </c>
      <c r="F75" t="s">
        <v>29</v>
      </c>
      <c r="G75" t="s">
        <v>68</v>
      </c>
      <c r="H75" s="4">
        <v>9</v>
      </c>
      <c r="I75" s="5">
        <v>237.63</v>
      </c>
      <c r="J75" s="5">
        <f t="shared" si="1"/>
        <v>2138.67</v>
      </c>
      <c r="K75" s="10">
        <f>YEAR(Table2[[#This Row],[Order Date]])</f>
        <v>2025</v>
      </c>
      <c r="L75">
        <f>MONTH(Table2[[#This Row],[Order Date]])</f>
        <v>2</v>
      </c>
      <c r="M75">
        <f>WEEKDAY(Table2[[#This Row],[Order Date]])</f>
        <v>2</v>
      </c>
      <c r="N75" s="5">
        <f>VLOOKUP(Table2[[#This Row],[Product]], Product_Lookup!$A$2:$B$26, 2, FALSE)</f>
        <v>33.22</v>
      </c>
      <c r="O75" s="5">
        <f>Table2[[#This Row],[Product Cost(VL)]]*Table2[[#This Row],[Quantity]]</f>
        <v>298.98</v>
      </c>
      <c r="P75" s="5">
        <f>Table2[[#This Row],[Sales Amount]]-Table2[[#This Row],[ PRODUCT COST]]</f>
        <v>1839.69</v>
      </c>
    </row>
    <row r="76" spans="1:16" x14ac:dyDescent="0.25">
      <c r="A76" t="s">
        <v>164</v>
      </c>
      <c r="B76" s="3">
        <v>45692</v>
      </c>
      <c r="C76" t="s">
        <v>537</v>
      </c>
      <c r="D76" t="s">
        <v>18</v>
      </c>
      <c r="E76" t="s">
        <v>13</v>
      </c>
      <c r="F76" t="s">
        <v>165</v>
      </c>
      <c r="G76" t="s">
        <v>162</v>
      </c>
      <c r="H76" s="4">
        <v>11</v>
      </c>
      <c r="I76" s="5">
        <v>270.25</v>
      </c>
      <c r="J76" s="5">
        <f t="shared" si="1"/>
        <v>2972.75</v>
      </c>
      <c r="K76" s="10">
        <f>YEAR(Table2[[#This Row],[Order Date]])</f>
        <v>2025</v>
      </c>
      <c r="L76">
        <f>MONTH(Table2[[#This Row],[Order Date]])</f>
        <v>2</v>
      </c>
      <c r="M76">
        <f>WEEKDAY(Table2[[#This Row],[Order Date]])</f>
        <v>3</v>
      </c>
      <c r="N76" s="5">
        <f>VLOOKUP(Table2[[#This Row],[Product]], Product_Lookup!$A$2:$B$26, 2, FALSE)</f>
        <v>149.27000000000001</v>
      </c>
      <c r="O76" s="5">
        <f>Table2[[#This Row],[Product Cost(VL)]]*Table2[[#This Row],[Quantity]]</f>
        <v>1641.97</v>
      </c>
      <c r="P76" s="5">
        <f>Table2[[#This Row],[Sales Amount]]-Table2[[#This Row],[ PRODUCT COST]]</f>
        <v>1330.78</v>
      </c>
    </row>
    <row r="77" spans="1:16" x14ac:dyDescent="0.25">
      <c r="A77" t="s">
        <v>166</v>
      </c>
      <c r="B77" s="3">
        <v>45693</v>
      </c>
      <c r="C77" t="s">
        <v>538</v>
      </c>
      <c r="D77" t="s">
        <v>23</v>
      </c>
      <c r="E77" t="s">
        <v>43</v>
      </c>
      <c r="F77" t="s">
        <v>37</v>
      </c>
      <c r="G77" t="s">
        <v>111</v>
      </c>
      <c r="H77" s="4">
        <v>15</v>
      </c>
      <c r="I77" s="5">
        <v>257.33999999999997</v>
      </c>
      <c r="J77" s="5">
        <f t="shared" si="1"/>
        <v>3860.0999999999995</v>
      </c>
      <c r="K77" s="10">
        <f>YEAR(Table2[[#This Row],[Order Date]])</f>
        <v>2025</v>
      </c>
      <c r="L77">
        <f>MONTH(Table2[[#This Row],[Order Date]])</f>
        <v>2</v>
      </c>
      <c r="M77">
        <f>WEEKDAY(Table2[[#This Row],[Order Date]])</f>
        <v>4</v>
      </c>
      <c r="N77" s="5">
        <f>VLOOKUP(Table2[[#This Row],[Product]], Product_Lookup!$A$2:$B$26, 2, FALSE)</f>
        <v>81.02</v>
      </c>
      <c r="O77" s="5">
        <f>Table2[[#This Row],[Product Cost(VL)]]*Table2[[#This Row],[Quantity]]</f>
        <v>1215.3</v>
      </c>
      <c r="P77" s="5">
        <f>Table2[[#This Row],[Sales Amount]]-Table2[[#This Row],[ PRODUCT COST]]</f>
        <v>2644.7999999999993</v>
      </c>
    </row>
    <row r="78" spans="1:16" x14ac:dyDescent="0.25">
      <c r="A78" t="s">
        <v>167</v>
      </c>
      <c r="B78" s="3">
        <v>45694</v>
      </c>
      <c r="C78" t="s">
        <v>539</v>
      </c>
      <c r="D78" t="s">
        <v>18</v>
      </c>
      <c r="E78" t="s">
        <v>58</v>
      </c>
      <c r="F78" t="s">
        <v>37</v>
      </c>
      <c r="G78" t="s">
        <v>61</v>
      </c>
      <c r="H78" s="4">
        <v>13</v>
      </c>
      <c r="I78" s="5">
        <v>131.15</v>
      </c>
      <c r="J78" s="5">
        <f t="shared" si="1"/>
        <v>1704.95</v>
      </c>
      <c r="K78" s="10">
        <f>YEAR(Table2[[#This Row],[Order Date]])</f>
        <v>2025</v>
      </c>
      <c r="L78">
        <f>MONTH(Table2[[#This Row],[Order Date]])</f>
        <v>2</v>
      </c>
      <c r="M78">
        <f>WEEKDAY(Table2[[#This Row],[Order Date]])</f>
        <v>5</v>
      </c>
      <c r="N78" s="5">
        <f>VLOOKUP(Table2[[#This Row],[Product]], Product_Lookup!$A$2:$B$26, 2, FALSE)</f>
        <v>101.96</v>
      </c>
      <c r="O78" s="5">
        <f>Table2[[#This Row],[Product Cost(VL)]]*Table2[[#This Row],[Quantity]]</f>
        <v>1325.48</v>
      </c>
      <c r="P78" s="5">
        <f>Table2[[#This Row],[Sales Amount]]-Table2[[#This Row],[ PRODUCT COST]]</f>
        <v>379.47</v>
      </c>
    </row>
    <row r="79" spans="1:16" x14ac:dyDescent="0.25">
      <c r="A79" t="s">
        <v>168</v>
      </c>
      <c r="B79" s="3">
        <v>45695</v>
      </c>
      <c r="C79" t="s">
        <v>540</v>
      </c>
      <c r="D79" t="s">
        <v>18</v>
      </c>
      <c r="E79" t="s">
        <v>669</v>
      </c>
      <c r="F79" t="s">
        <v>37</v>
      </c>
      <c r="G79" t="s">
        <v>162</v>
      </c>
      <c r="H79" s="4">
        <v>8</v>
      </c>
      <c r="I79" s="5">
        <v>47.97</v>
      </c>
      <c r="J79" s="5">
        <f t="shared" si="1"/>
        <v>383.76</v>
      </c>
      <c r="K79" s="10">
        <f>YEAR(Table2[[#This Row],[Order Date]])</f>
        <v>2025</v>
      </c>
      <c r="L79">
        <f>MONTH(Table2[[#This Row],[Order Date]])</f>
        <v>2</v>
      </c>
      <c r="M79">
        <f>WEEKDAY(Table2[[#This Row],[Order Date]])</f>
        <v>6</v>
      </c>
      <c r="N79" s="5">
        <f>VLOOKUP(Table2[[#This Row],[Product]], Product_Lookup!$A$2:$B$26, 2, FALSE)</f>
        <v>149.27000000000001</v>
      </c>
      <c r="O79" s="5">
        <f>Table2[[#This Row],[Product Cost(VL)]]*Table2[[#This Row],[Quantity]]</f>
        <v>1194.1600000000001</v>
      </c>
      <c r="P79" s="5">
        <f>Table2[[#This Row],[Sales Amount]]-Table2[[#This Row],[ PRODUCT COST]]</f>
        <v>-810.40000000000009</v>
      </c>
    </row>
    <row r="80" spans="1:16" x14ac:dyDescent="0.25">
      <c r="A80" t="s">
        <v>170</v>
      </c>
      <c r="B80" s="3">
        <v>45696</v>
      </c>
      <c r="C80" t="s">
        <v>541</v>
      </c>
      <c r="D80" t="s">
        <v>23</v>
      </c>
      <c r="E80" t="s">
        <v>43</v>
      </c>
      <c r="F80" t="s">
        <v>33</v>
      </c>
      <c r="G80" t="s">
        <v>34</v>
      </c>
      <c r="H80" s="4">
        <v>2</v>
      </c>
      <c r="I80" s="5">
        <v>77.8</v>
      </c>
      <c r="J80" s="5">
        <f t="shared" si="1"/>
        <v>155.6</v>
      </c>
      <c r="K80" s="10">
        <f>YEAR(Table2[[#This Row],[Order Date]])</f>
        <v>2025</v>
      </c>
      <c r="L80">
        <f>MONTH(Table2[[#This Row],[Order Date]])</f>
        <v>2</v>
      </c>
      <c r="M80">
        <f>WEEKDAY(Table2[[#This Row],[Order Date]])</f>
        <v>7</v>
      </c>
      <c r="N80" s="5">
        <f>VLOOKUP(Table2[[#This Row],[Product]], Product_Lookup!$A$2:$B$26, 2, FALSE)</f>
        <v>230.34</v>
      </c>
      <c r="O80" s="5">
        <f>Table2[[#This Row],[Product Cost(VL)]]*Table2[[#This Row],[Quantity]]</f>
        <v>460.68</v>
      </c>
      <c r="P80" s="5">
        <f>Table2[[#This Row],[Sales Amount]]-Table2[[#This Row],[ PRODUCT COST]]</f>
        <v>-305.08000000000004</v>
      </c>
    </row>
    <row r="81" spans="1:16" x14ac:dyDescent="0.25">
      <c r="A81" t="s">
        <v>171</v>
      </c>
      <c r="B81" s="3">
        <v>45697</v>
      </c>
      <c r="C81" t="s">
        <v>542</v>
      </c>
      <c r="D81" t="s">
        <v>18</v>
      </c>
      <c r="E81" t="s">
        <v>58</v>
      </c>
      <c r="F81" t="s">
        <v>29</v>
      </c>
      <c r="G81" t="s">
        <v>47</v>
      </c>
      <c r="H81" s="4">
        <v>7</v>
      </c>
      <c r="I81" s="5">
        <v>172.13</v>
      </c>
      <c r="J81" s="5">
        <f t="shared" si="1"/>
        <v>1204.9099999999999</v>
      </c>
      <c r="K81" s="10">
        <f>YEAR(Table2[[#This Row],[Order Date]])</f>
        <v>2025</v>
      </c>
      <c r="L81">
        <f>MONTH(Table2[[#This Row],[Order Date]])</f>
        <v>2</v>
      </c>
      <c r="M81">
        <f>WEEKDAY(Table2[[#This Row],[Order Date]])</f>
        <v>1</v>
      </c>
      <c r="N81" s="5">
        <f>VLOOKUP(Table2[[#This Row],[Product]], Product_Lookup!$A$2:$B$26, 2, FALSE)</f>
        <v>107.34</v>
      </c>
      <c r="O81" s="5">
        <f>Table2[[#This Row],[Product Cost(VL)]]*Table2[[#This Row],[Quantity]]</f>
        <v>751.38</v>
      </c>
      <c r="P81" s="5">
        <f>Table2[[#This Row],[Sales Amount]]-Table2[[#This Row],[ PRODUCT COST]]</f>
        <v>453.52999999999986</v>
      </c>
    </row>
    <row r="82" spans="1:16" x14ac:dyDescent="0.25">
      <c r="A82" t="s">
        <v>172</v>
      </c>
      <c r="B82" s="3">
        <v>45698</v>
      </c>
      <c r="C82" t="s">
        <v>543</v>
      </c>
      <c r="D82" t="s">
        <v>18</v>
      </c>
      <c r="E82" t="s">
        <v>13</v>
      </c>
      <c r="F82" t="s">
        <v>29</v>
      </c>
      <c r="G82" t="s">
        <v>30</v>
      </c>
      <c r="H82" s="4">
        <v>15</v>
      </c>
      <c r="I82" s="5">
        <v>387.2</v>
      </c>
      <c r="J82" s="5">
        <f t="shared" si="1"/>
        <v>5808</v>
      </c>
      <c r="K82" s="10">
        <f>YEAR(Table2[[#This Row],[Order Date]])</f>
        <v>2025</v>
      </c>
      <c r="L82">
        <f>MONTH(Table2[[#This Row],[Order Date]])</f>
        <v>2</v>
      </c>
      <c r="M82">
        <f>WEEKDAY(Table2[[#This Row],[Order Date]])</f>
        <v>2</v>
      </c>
      <c r="N82" s="5">
        <f>VLOOKUP(Table2[[#This Row],[Product]], Product_Lookup!$A$2:$B$26, 2, FALSE)</f>
        <v>84.57</v>
      </c>
      <c r="O82" s="5">
        <f>Table2[[#This Row],[Product Cost(VL)]]*Table2[[#This Row],[Quantity]]</f>
        <v>1268.55</v>
      </c>
      <c r="P82" s="5">
        <f>Table2[[#This Row],[Sales Amount]]-Table2[[#This Row],[ PRODUCT COST]]</f>
        <v>4539.45</v>
      </c>
    </row>
    <row r="83" spans="1:16" x14ac:dyDescent="0.25">
      <c r="A83" t="s">
        <v>173</v>
      </c>
      <c r="B83" s="3">
        <v>45699</v>
      </c>
      <c r="C83" t="s">
        <v>544</v>
      </c>
      <c r="D83" t="s">
        <v>12</v>
      </c>
      <c r="E83" t="s">
        <v>669</v>
      </c>
      <c r="F83" t="s">
        <v>37</v>
      </c>
      <c r="G83" t="s">
        <v>61</v>
      </c>
      <c r="H83" s="4">
        <v>6</v>
      </c>
      <c r="I83" s="5">
        <v>156.32</v>
      </c>
      <c r="J83" s="5">
        <f t="shared" si="1"/>
        <v>937.92</v>
      </c>
      <c r="K83" s="10">
        <f>YEAR(Table2[[#This Row],[Order Date]])</f>
        <v>2025</v>
      </c>
      <c r="L83">
        <f>MONTH(Table2[[#This Row],[Order Date]])</f>
        <v>2</v>
      </c>
      <c r="M83">
        <f>WEEKDAY(Table2[[#This Row],[Order Date]])</f>
        <v>3</v>
      </c>
      <c r="N83" s="5">
        <f>VLOOKUP(Table2[[#This Row],[Product]], Product_Lookup!$A$2:$B$26, 2, FALSE)</f>
        <v>101.96</v>
      </c>
      <c r="O83" s="5">
        <f>Table2[[#This Row],[Product Cost(VL)]]*Table2[[#This Row],[Quantity]]</f>
        <v>611.76</v>
      </c>
      <c r="P83" s="5">
        <f>Table2[[#This Row],[Sales Amount]]-Table2[[#This Row],[ PRODUCT COST]]</f>
        <v>326.15999999999997</v>
      </c>
    </row>
    <row r="84" spans="1:16" x14ac:dyDescent="0.25">
      <c r="A84" t="s">
        <v>174</v>
      </c>
      <c r="B84" s="3">
        <v>45700</v>
      </c>
      <c r="C84" t="s">
        <v>545</v>
      </c>
      <c r="D84" t="s">
        <v>12</v>
      </c>
      <c r="E84" t="s">
        <v>669</v>
      </c>
      <c r="F84" t="s">
        <v>24</v>
      </c>
      <c r="G84" t="s">
        <v>121</v>
      </c>
      <c r="H84" s="4">
        <v>8</v>
      </c>
      <c r="I84" s="5">
        <v>117.52</v>
      </c>
      <c r="J84" s="5">
        <f t="shared" si="1"/>
        <v>940.16</v>
      </c>
      <c r="K84" s="10">
        <f>YEAR(Table2[[#This Row],[Order Date]])</f>
        <v>2025</v>
      </c>
      <c r="L84">
        <f>MONTH(Table2[[#This Row],[Order Date]])</f>
        <v>2</v>
      </c>
      <c r="M84">
        <f>WEEKDAY(Table2[[#This Row],[Order Date]])</f>
        <v>4</v>
      </c>
      <c r="N84" s="5">
        <f>VLOOKUP(Table2[[#This Row],[Product]], Product_Lookup!$A$2:$B$26, 2, FALSE)</f>
        <v>32.94</v>
      </c>
      <c r="O84" s="5">
        <f>Table2[[#This Row],[Product Cost(VL)]]*Table2[[#This Row],[Quantity]]</f>
        <v>263.52</v>
      </c>
      <c r="P84" s="5">
        <f>Table2[[#This Row],[Sales Amount]]-Table2[[#This Row],[ PRODUCT COST]]</f>
        <v>676.64</v>
      </c>
    </row>
    <row r="85" spans="1:16" x14ac:dyDescent="0.25">
      <c r="A85" t="s">
        <v>175</v>
      </c>
      <c r="B85" s="3">
        <v>45701</v>
      </c>
      <c r="C85" t="s">
        <v>546</v>
      </c>
      <c r="D85" t="s">
        <v>23</v>
      </c>
      <c r="E85" t="s">
        <v>13</v>
      </c>
      <c r="F85" t="s">
        <v>165</v>
      </c>
      <c r="G85" t="s">
        <v>176</v>
      </c>
      <c r="H85" s="4">
        <v>11</v>
      </c>
      <c r="I85" s="5">
        <v>401.09</v>
      </c>
      <c r="J85" s="5">
        <f t="shared" si="1"/>
        <v>4411.99</v>
      </c>
      <c r="K85" s="10">
        <f>YEAR(Table2[[#This Row],[Order Date]])</f>
        <v>2025</v>
      </c>
      <c r="L85">
        <f>MONTH(Table2[[#This Row],[Order Date]])</f>
        <v>2</v>
      </c>
      <c r="M85">
        <f>WEEKDAY(Table2[[#This Row],[Order Date]])</f>
        <v>5</v>
      </c>
      <c r="N85" s="5">
        <f>VLOOKUP(Table2[[#This Row],[Product]], Product_Lookup!$A$2:$B$26, 2, FALSE)</f>
        <v>133.37</v>
      </c>
      <c r="O85" s="5">
        <f>Table2[[#This Row],[Product Cost(VL)]]*Table2[[#This Row],[Quantity]]</f>
        <v>1467.0700000000002</v>
      </c>
      <c r="P85" s="5">
        <f>Table2[[#This Row],[Sales Amount]]-Table2[[#This Row],[ PRODUCT COST]]</f>
        <v>2944.9199999999996</v>
      </c>
    </row>
    <row r="86" spans="1:16" x14ac:dyDescent="0.25">
      <c r="A86" t="s">
        <v>177</v>
      </c>
      <c r="B86" s="3">
        <v>45702</v>
      </c>
      <c r="C86" t="s">
        <v>547</v>
      </c>
      <c r="D86" t="s">
        <v>23</v>
      </c>
      <c r="E86" t="s">
        <v>28</v>
      </c>
      <c r="F86" t="s">
        <v>29</v>
      </c>
      <c r="G86" t="s">
        <v>76</v>
      </c>
      <c r="H86" s="4">
        <v>1</v>
      </c>
      <c r="I86" s="5">
        <v>454.4</v>
      </c>
      <c r="J86" s="5">
        <f t="shared" si="1"/>
        <v>454.4</v>
      </c>
      <c r="K86" s="10">
        <f>YEAR(Table2[[#This Row],[Order Date]])</f>
        <v>2025</v>
      </c>
      <c r="L86">
        <f>MONTH(Table2[[#This Row],[Order Date]])</f>
        <v>2</v>
      </c>
      <c r="M86">
        <f>WEEKDAY(Table2[[#This Row],[Order Date]])</f>
        <v>6</v>
      </c>
      <c r="N86" s="5">
        <f>VLOOKUP(Table2[[#This Row],[Product]], Product_Lookup!$A$2:$B$26, 2, FALSE)</f>
        <v>201.32</v>
      </c>
      <c r="O86" s="5">
        <f>Table2[[#This Row],[Product Cost(VL)]]*Table2[[#This Row],[Quantity]]</f>
        <v>201.32</v>
      </c>
      <c r="P86" s="5">
        <f>Table2[[#This Row],[Sales Amount]]-Table2[[#This Row],[ PRODUCT COST]]</f>
        <v>253.07999999999998</v>
      </c>
    </row>
    <row r="87" spans="1:16" x14ac:dyDescent="0.25">
      <c r="A87" t="s">
        <v>178</v>
      </c>
      <c r="B87" s="3">
        <v>45703</v>
      </c>
      <c r="C87" t="s">
        <v>548</v>
      </c>
      <c r="D87" t="s">
        <v>12</v>
      </c>
      <c r="E87" t="s">
        <v>13</v>
      </c>
      <c r="F87" t="s">
        <v>14</v>
      </c>
      <c r="G87" t="s">
        <v>104</v>
      </c>
      <c r="H87" s="4">
        <v>14</v>
      </c>
      <c r="I87" s="5">
        <v>236.23</v>
      </c>
      <c r="J87" s="5">
        <f t="shared" si="1"/>
        <v>3307.22</v>
      </c>
      <c r="K87" s="10">
        <f>YEAR(Table2[[#This Row],[Order Date]])</f>
        <v>2025</v>
      </c>
      <c r="L87">
        <f>MONTH(Table2[[#This Row],[Order Date]])</f>
        <v>2</v>
      </c>
      <c r="M87">
        <f>WEEKDAY(Table2[[#This Row],[Order Date]])</f>
        <v>7</v>
      </c>
      <c r="N87" s="5">
        <f>VLOOKUP(Table2[[#This Row],[Product]], Product_Lookup!$A$2:$B$26, 2, FALSE)</f>
        <v>145.47999999999999</v>
      </c>
      <c r="O87" s="5">
        <f>Table2[[#This Row],[Product Cost(VL)]]*Table2[[#This Row],[Quantity]]</f>
        <v>2036.7199999999998</v>
      </c>
      <c r="P87" s="5">
        <f>Table2[[#This Row],[Sales Amount]]-Table2[[#This Row],[ PRODUCT COST]]</f>
        <v>1270.5</v>
      </c>
    </row>
    <row r="88" spans="1:16" x14ac:dyDescent="0.25">
      <c r="A88" t="s">
        <v>179</v>
      </c>
      <c r="B88" s="3">
        <v>45704</v>
      </c>
      <c r="C88" t="s">
        <v>549</v>
      </c>
      <c r="D88" t="s">
        <v>18</v>
      </c>
      <c r="E88" t="s">
        <v>28</v>
      </c>
      <c r="F88" t="s">
        <v>33</v>
      </c>
      <c r="G88" t="s">
        <v>51</v>
      </c>
      <c r="H88" s="4">
        <v>6</v>
      </c>
      <c r="I88" s="5">
        <v>175.38</v>
      </c>
      <c r="J88" s="5">
        <f t="shared" si="1"/>
        <v>1052.28</v>
      </c>
      <c r="K88" s="10">
        <f>YEAR(Table2[[#This Row],[Order Date]])</f>
        <v>2025</v>
      </c>
      <c r="L88">
        <f>MONTH(Table2[[#This Row],[Order Date]])</f>
        <v>2</v>
      </c>
      <c r="M88">
        <f>WEEKDAY(Table2[[#This Row],[Order Date]])</f>
        <v>1</v>
      </c>
      <c r="N88" s="5">
        <f>VLOOKUP(Table2[[#This Row],[Product]], Product_Lookup!$A$2:$B$26, 2, FALSE)</f>
        <v>208.85</v>
      </c>
      <c r="O88" s="5">
        <f>Table2[[#This Row],[Product Cost(VL)]]*Table2[[#This Row],[Quantity]]</f>
        <v>1253.0999999999999</v>
      </c>
      <c r="P88" s="5">
        <f>Table2[[#This Row],[Sales Amount]]-Table2[[#This Row],[ PRODUCT COST]]</f>
        <v>-200.81999999999994</v>
      </c>
    </row>
    <row r="89" spans="1:16" x14ac:dyDescent="0.25">
      <c r="A89" t="s">
        <v>180</v>
      </c>
      <c r="B89" s="3">
        <v>45705</v>
      </c>
      <c r="C89" t="s">
        <v>550</v>
      </c>
      <c r="D89" t="s">
        <v>18</v>
      </c>
      <c r="E89" t="s">
        <v>28</v>
      </c>
      <c r="F89" t="s">
        <v>50</v>
      </c>
      <c r="G89" t="s">
        <v>74</v>
      </c>
      <c r="H89" s="4">
        <v>1</v>
      </c>
      <c r="I89" s="5">
        <v>377.02</v>
      </c>
      <c r="J89" s="5">
        <f t="shared" si="1"/>
        <v>377.02</v>
      </c>
      <c r="K89" s="10">
        <f>YEAR(Table2[[#This Row],[Order Date]])</f>
        <v>2025</v>
      </c>
      <c r="L89">
        <f>MONTH(Table2[[#This Row],[Order Date]])</f>
        <v>2</v>
      </c>
      <c r="M89">
        <f>WEEKDAY(Table2[[#This Row],[Order Date]])</f>
        <v>2</v>
      </c>
      <c r="N89" s="5">
        <f>VLOOKUP(Table2[[#This Row],[Product]], Product_Lookup!$A$2:$B$26, 2, FALSE)</f>
        <v>156.44</v>
      </c>
      <c r="O89" s="5">
        <f>Table2[[#This Row],[Product Cost(VL)]]*Table2[[#This Row],[Quantity]]</f>
        <v>156.44</v>
      </c>
      <c r="P89" s="5">
        <f>Table2[[#This Row],[Sales Amount]]-Table2[[#This Row],[ PRODUCT COST]]</f>
        <v>220.57999999999998</v>
      </c>
    </row>
    <row r="90" spans="1:16" x14ac:dyDescent="0.25">
      <c r="A90" t="s">
        <v>181</v>
      </c>
      <c r="B90" s="3">
        <v>45706</v>
      </c>
      <c r="C90" t="s">
        <v>551</v>
      </c>
      <c r="D90" t="s">
        <v>12</v>
      </c>
      <c r="E90" t="s">
        <v>58</v>
      </c>
      <c r="F90" t="s">
        <v>14</v>
      </c>
      <c r="G90" t="s">
        <v>98</v>
      </c>
      <c r="H90" s="4">
        <v>4</v>
      </c>
      <c r="I90" s="5">
        <v>107.69</v>
      </c>
      <c r="J90" s="5">
        <f t="shared" si="1"/>
        <v>430.76</v>
      </c>
      <c r="K90" s="10">
        <f>YEAR(Table2[[#This Row],[Order Date]])</f>
        <v>2025</v>
      </c>
      <c r="L90">
        <f>MONTH(Table2[[#This Row],[Order Date]])</f>
        <v>2</v>
      </c>
      <c r="M90">
        <f>WEEKDAY(Table2[[#This Row],[Order Date]])</f>
        <v>3</v>
      </c>
      <c r="N90" s="5">
        <f>VLOOKUP(Table2[[#This Row],[Product]], Product_Lookup!$A$2:$B$26, 2, FALSE)</f>
        <v>230.68</v>
      </c>
      <c r="O90" s="5">
        <f>Table2[[#This Row],[Product Cost(VL)]]*Table2[[#This Row],[Quantity]]</f>
        <v>922.72</v>
      </c>
      <c r="P90" s="5">
        <f>Table2[[#This Row],[Sales Amount]]-Table2[[#This Row],[ PRODUCT COST]]</f>
        <v>-491.96000000000004</v>
      </c>
    </row>
    <row r="91" spans="1:16" x14ac:dyDescent="0.25">
      <c r="A91" t="s">
        <v>182</v>
      </c>
      <c r="B91" s="3">
        <v>45707</v>
      </c>
      <c r="C91" t="s">
        <v>552</v>
      </c>
      <c r="D91" t="s">
        <v>18</v>
      </c>
      <c r="E91" t="s">
        <v>58</v>
      </c>
      <c r="F91" t="s">
        <v>29</v>
      </c>
      <c r="G91" t="s">
        <v>68</v>
      </c>
      <c r="H91" s="4">
        <v>11</v>
      </c>
      <c r="I91" s="5">
        <v>66.05</v>
      </c>
      <c r="J91" s="5">
        <f t="shared" si="1"/>
        <v>726.55</v>
      </c>
      <c r="K91" s="10">
        <f>YEAR(Table2[[#This Row],[Order Date]])</f>
        <v>2025</v>
      </c>
      <c r="L91">
        <f>MONTH(Table2[[#This Row],[Order Date]])</f>
        <v>2</v>
      </c>
      <c r="M91">
        <f>WEEKDAY(Table2[[#This Row],[Order Date]])</f>
        <v>4</v>
      </c>
      <c r="N91" s="5">
        <f>VLOOKUP(Table2[[#This Row],[Product]], Product_Lookup!$A$2:$B$26, 2, FALSE)</f>
        <v>33.22</v>
      </c>
      <c r="O91" s="5">
        <f>Table2[[#This Row],[Product Cost(VL)]]*Table2[[#This Row],[Quantity]]</f>
        <v>365.41999999999996</v>
      </c>
      <c r="P91" s="5">
        <f>Table2[[#This Row],[Sales Amount]]-Table2[[#This Row],[ PRODUCT COST]]</f>
        <v>361.13</v>
      </c>
    </row>
    <row r="92" spans="1:16" x14ac:dyDescent="0.25">
      <c r="A92" t="s">
        <v>183</v>
      </c>
      <c r="B92" s="3">
        <v>45708</v>
      </c>
      <c r="C92" t="s">
        <v>553</v>
      </c>
      <c r="D92" t="s">
        <v>23</v>
      </c>
      <c r="E92" t="s">
        <v>43</v>
      </c>
      <c r="F92" t="s">
        <v>33</v>
      </c>
      <c r="G92" t="s">
        <v>51</v>
      </c>
      <c r="H92" s="4">
        <v>10</v>
      </c>
      <c r="I92" s="5">
        <v>482.23</v>
      </c>
      <c r="J92" s="5">
        <f t="shared" si="1"/>
        <v>4822.3</v>
      </c>
      <c r="K92" s="10">
        <f>YEAR(Table2[[#This Row],[Order Date]])</f>
        <v>2025</v>
      </c>
      <c r="L92">
        <f>MONTH(Table2[[#This Row],[Order Date]])</f>
        <v>2</v>
      </c>
      <c r="M92">
        <f>WEEKDAY(Table2[[#This Row],[Order Date]])</f>
        <v>5</v>
      </c>
      <c r="N92" s="5">
        <f>VLOOKUP(Table2[[#This Row],[Product]], Product_Lookup!$A$2:$B$26, 2, FALSE)</f>
        <v>208.85</v>
      </c>
      <c r="O92" s="5">
        <f>Table2[[#This Row],[Product Cost(VL)]]*Table2[[#This Row],[Quantity]]</f>
        <v>2088.5</v>
      </c>
      <c r="P92" s="5">
        <f>Table2[[#This Row],[Sales Amount]]-Table2[[#This Row],[ PRODUCT COST]]</f>
        <v>2733.8</v>
      </c>
    </row>
    <row r="93" spans="1:16" x14ac:dyDescent="0.25">
      <c r="A93" t="s">
        <v>185</v>
      </c>
      <c r="B93" s="3">
        <v>45709</v>
      </c>
      <c r="C93" t="s">
        <v>554</v>
      </c>
      <c r="D93" t="s">
        <v>23</v>
      </c>
      <c r="E93" t="s">
        <v>58</v>
      </c>
      <c r="F93" t="s">
        <v>33</v>
      </c>
      <c r="G93" t="s">
        <v>74</v>
      </c>
      <c r="H93" s="4">
        <v>1</v>
      </c>
      <c r="I93" s="5">
        <v>465.15</v>
      </c>
      <c r="J93" s="5">
        <f t="shared" si="1"/>
        <v>465.15</v>
      </c>
      <c r="K93" s="10">
        <f>YEAR(Table2[[#This Row],[Order Date]])</f>
        <v>2025</v>
      </c>
      <c r="L93">
        <f>MONTH(Table2[[#This Row],[Order Date]])</f>
        <v>2</v>
      </c>
      <c r="M93">
        <f>WEEKDAY(Table2[[#This Row],[Order Date]])</f>
        <v>6</v>
      </c>
      <c r="N93" s="5">
        <f>VLOOKUP(Table2[[#This Row],[Product]], Product_Lookup!$A$2:$B$26, 2, FALSE)</f>
        <v>156.44</v>
      </c>
      <c r="O93" s="5">
        <f>Table2[[#This Row],[Product Cost(VL)]]*Table2[[#This Row],[Quantity]]</f>
        <v>156.44</v>
      </c>
      <c r="P93" s="5">
        <f>Table2[[#This Row],[Sales Amount]]-Table2[[#This Row],[ PRODUCT COST]]</f>
        <v>308.70999999999998</v>
      </c>
    </row>
    <row r="94" spans="1:16" x14ac:dyDescent="0.25">
      <c r="A94" t="s">
        <v>186</v>
      </c>
      <c r="B94" s="3">
        <v>45710</v>
      </c>
      <c r="C94" t="s">
        <v>555</v>
      </c>
      <c r="D94" t="s">
        <v>12</v>
      </c>
      <c r="E94" t="s">
        <v>28</v>
      </c>
      <c r="F94" t="s">
        <v>37</v>
      </c>
      <c r="G94" t="s">
        <v>162</v>
      </c>
      <c r="H94" s="4">
        <v>10</v>
      </c>
      <c r="I94" s="5">
        <v>348.4</v>
      </c>
      <c r="J94" s="5">
        <f t="shared" si="1"/>
        <v>3484</v>
      </c>
      <c r="K94" s="10">
        <f>YEAR(Table2[[#This Row],[Order Date]])</f>
        <v>2025</v>
      </c>
      <c r="L94">
        <f>MONTH(Table2[[#This Row],[Order Date]])</f>
        <v>2</v>
      </c>
      <c r="M94">
        <f>WEEKDAY(Table2[[#This Row],[Order Date]])</f>
        <v>7</v>
      </c>
      <c r="N94" s="5">
        <f>VLOOKUP(Table2[[#This Row],[Product]], Product_Lookup!$A$2:$B$26, 2, FALSE)</f>
        <v>149.27000000000001</v>
      </c>
      <c r="O94" s="5">
        <f>Table2[[#This Row],[Product Cost(VL)]]*Table2[[#This Row],[Quantity]]</f>
        <v>1492.7</v>
      </c>
      <c r="P94" s="5">
        <f>Table2[[#This Row],[Sales Amount]]-Table2[[#This Row],[ PRODUCT COST]]</f>
        <v>1991.3</v>
      </c>
    </row>
    <row r="95" spans="1:16" x14ac:dyDescent="0.25">
      <c r="A95" t="s">
        <v>187</v>
      </c>
      <c r="B95" s="3">
        <v>45711</v>
      </c>
      <c r="C95" t="s">
        <v>556</v>
      </c>
      <c r="D95" t="s">
        <v>12</v>
      </c>
      <c r="E95" t="s">
        <v>13</v>
      </c>
      <c r="F95" t="s">
        <v>33</v>
      </c>
      <c r="G95" t="s">
        <v>72</v>
      </c>
      <c r="H95" s="4">
        <v>13</v>
      </c>
      <c r="I95" s="5">
        <v>492.08</v>
      </c>
      <c r="J95" s="5">
        <f t="shared" si="1"/>
        <v>6397.04</v>
      </c>
      <c r="K95" s="10">
        <f>YEAR(Table2[[#This Row],[Order Date]])</f>
        <v>2025</v>
      </c>
      <c r="L95">
        <f>MONTH(Table2[[#This Row],[Order Date]])</f>
        <v>2</v>
      </c>
      <c r="M95">
        <f>WEEKDAY(Table2[[#This Row],[Order Date]])</f>
        <v>1</v>
      </c>
      <c r="N95" s="5">
        <f>VLOOKUP(Table2[[#This Row],[Product]], Product_Lookup!$A$2:$B$26, 2, FALSE)</f>
        <v>211.9</v>
      </c>
      <c r="O95" s="5">
        <f>Table2[[#This Row],[Product Cost(VL)]]*Table2[[#This Row],[Quantity]]</f>
        <v>2754.7000000000003</v>
      </c>
      <c r="P95" s="5">
        <f>Table2[[#This Row],[Sales Amount]]-Table2[[#This Row],[ PRODUCT COST]]</f>
        <v>3642.3399999999997</v>
      </c>
    </row>
    <row r="96" spans="1:16" x14ac:dyDescent="0.25">
      <c r="A96" t="s">
        <v>188</v>
      </c>
      <c r="B96" s="3">
        <v>45712</v>
      </c>
      <c r="C96" t="s">
        <v>557</v>
      </c>
      <c r="D96" t="s">
        <v>23</v>
      </c>
      <c r="E96" t="s">
        <v>43</v>
      </c>
      <c r="F96" t="s">
        <v>24</v>
      </c>
      <c r="G96" t="s">
        <v>86</v>
      </c>
      <c r="H96" s="4">
        <v>6</v>
      </c>
      <c r="I96" s="5">
        <v>43.79</v>
      </c>
      <c r="J96" s="5">
        <f t="shared" si="1"/>
        <v>262.74</v>
      </c>
      <c r="K96" s="10">
        <f>YEAR(Table2[[#This Row],[Order Date]])</f>
        <v>2025</v>
      </c>
      <c r="L96">
        <f>MONTH(Table2[[#This Row],[Order Date]])</f>
        <v>2</v>
      </c>
      <c r="M96">
        <f>WEEKDAY(Table2[[#This Row],[Order Date]])</f>
        <v>2</v>
      </c>
      <c r="N96" s="5">
        <f>VLOOKUP(Table2[[#This Row],[Product]], Product_Lookup!$A$2:$B$26, 2, FALSE)</f>
        <v>130.07</v>
      </c>
      <c r="O96" s="5">
        <f>Table2[[#This Row],[Product Cost(VL)]]*Table2[[#This Row],[Quantity]]</f>
        <v>780.42</v>
      </c>
      <c r="P96" s="5">
        <f>Table2[[#This Row],[Sales Amount]]-Table2[[#This Row],[ PRODUCT COST]]</f>
        <v>-517.67999999999995</v>
      </c>
    </row>
    <row r="97" spans="1:16" x14ac:dyDescent="0.25">
      <c r="A97" t="s">
        <v>190</v>
      </c>
      <c r="B97" s="3">
        <v>45713</v>
      </c>
      <c r="C97" t="s">
        <v>558</v>
      </c>
      <c r="D97" t="s">
        <v>12</v>
      </c>
      <c r="E97" t="s">
        <v>13</v>
      </c>
      <c r="F97" t="s">
        <v>37</v>
      </c>
      <c r="G97" t="s">
        <v>61</v>
      </c>
      <c r="H97" s="4">
        <v>7</v>
      </c>
      <c r="I97" s="5">
        <v>480.79</v>
      </c>
      <c r="J97" s="5">
        <f t="shared" si="1"/>
        <v>3365.53</v>
      </c>
      <c r="K97" s="10">
        <f>YEAR(Table2[[#This Row],[Order Date]])</f>
        <v>2025</v>
      </c>
      <c r="L97">
        <f>MONTH(Table2[[#This Row],[Order Date]])</f>
        <v>2</v>
      </c>
      <c r="M97">
        <f>WEEKDAY(Table2[[#This Row],[Order Date]])</f>
        <v>3</v>
      </c>
      <c r="N97" s="5">
        <f>VLOOKUP(Table2[[#This Row],[Product]], Product_Lookup!$A$2:$B$26, 2, FALSE)</f>
        <v>101.96</v>
      </c>
      <c r="O97" s="5">
        <f>Table2[[#This Row],[Product Cost(VL)]]*Table2[[#This Row],[Quantity]]</f>
        <v>713.71999999999991</v>
      </c>
      <c r="P97" s="5">
        <f>Table2[[#This Row],[Sales Amount]]-Table2[[#This Row],[ PRODUCT COST]]</f>
        <v>2651.8100000000004</v>
      </c>
    </row>
    <row r="98" spans="1:16" x14ac:dyDescent="0.25">
      <c r="A98" t="s">
        <v>191</v>
      </c>
      <c r="B98" s="3">
        <v>45714</v>
      </c>
      <c r="C98" t="s">
        <v>559</v>
      </c>
      <c r="D98" t="s">
        <v>23</v>
      </c>
      <c r="E98" t="s">
        <v>58</v>
      </c>
      <c r="F98" t="s">
        <v>165</v>
      </c>
      <c r="G98" t="s">
        <v>162</v>
      </c>
      <c r="H98" s="4">
        <v>9</v>
      </c>
      <c r="I98" s="5">
        <v>483.08</v>
      </c>
      <c r="J98" s="5">
        <f t="shared" si="1"/>
        <v>4347.72</v>
      </c>
      <c r="K98" s="10">
        <f>YEAR(Table2[[#This Row],[Order Date]])</f>
        <v>2025</v>
      </c>
      <c r="L98">
        <f>MONTH(Table2[[#This Row],[Order Date]])</f>
        <v>2</v>
      </c>
      <c r="M98">
        <f>WEEKDAY(Table2[[#This Row],[Order Date]])</f>
        <v>4</v>
      </c>
      <c r="N98" s="5">
        <f>VLOOKUP(Table2[[#This Row],[Product]], Product_Lookup!$A$2:$B$26, 2, FALSE)</f>
        <v>149.27000000000001</v>
      </c>
      <c r="O98" s="5">
        <f>Table2[[#This Row],[Product Cost(VL)]]*Table2[[#This Row],[Quantity]]</f>
        <v>1343.43</v>
      </c>
      <c r="P98" s="5">
        <f>Table2[[#This Row],[Sales Amount]]-Table2[[#This Row],[ PRODUCT COST]]</f>
        <v>3004.29</v>
      </c>
    </row>
    <row r="99" spans="1:16" x14ac:dyDescent="0.25">
      <c r="A99" t="s">
        <v>192</v>
      </c>
      <c r="B99" s="3">
        <v>45715</v>
      </c>
      <c r="C99" t="s">
        <v>560</v>
      </c>
      <c r="D99" t="s">
        <v>18</v>
      </c>
      <c r="E99" t="s">
        <v>669</v>
      </c>
      <c r="F99" t="s">
        <v>37</v>
      </c>
      <c r="G99" t="s">
        <v>61</v>
      </c>
      <c r="H99" s="4">
        <v>14</v>
      </c>
      <c r="I99" s="5">
        <v>368.2</v>
      </c>
      <c r="J99" s="5">
        <f t="shared" si="1"/>
        <v>5154.8</v>
      </c>
      <c r="K99" s="10">
        <f>YEAR(Table2[[#This Row],[Order Date]])</f>
        <v>2025</v>
      </c>
      <c r="L99">
        <f>MONTH(Table2[[#This Row],[Order Date]])</f>
        <v>2</v>
      </c>
      <c r="M99">
        <f>WEEKDAY(Table2[[#This Row],[Order Date]])</f>
        <v>5</v>
      </c>
      <c r="N99" s="5">
        <f>VLOOKUP(Table2[[#This Row],[Product]], Product_Lookup!$A$2:$B$26, 2, FALSE)</f>
        <v>101.96</v>
      </c>
      <c r="O99" s="5">
        <f>Table2[[#This Row],[Product Cost(VL)]]*Table2[[#This Row],[Quantity]]</f>
        <v>1427.4399999999998</v>
      </c>
      <c r="P99" s="5">
        <f>Table2[[#This Row],[Sales Amount]]-Table2[[#This Row],[ PRODUCT COST]]</f>
        <v>3727.3600000000006</v>
      </c>
    </row>
    <row r="100" spans="1:16" x14ac:dyDescent="0.25">
      <c r="A100" t="s">
        <v>193</v>
      </c>
      <c r="B100" s="3">
        <v>45716</v>
      </c>
      <c r="C100" t="s">
        <v>561</v>
      </c>
      <c r="D100" t="s">
        <v>18</v>
      </c>
      <c r="E100" t="s">
        <v>58</v>
      </c>
      <c r="F100" t="s">
        <v>14</v>
      </c>
      <c r="G100" t="s">
        <v>15</v>
      </c>
      <c r="H100" s="4">
        <v>4</v>
      </c>
      <c r="I100" s="5">
        <v>377.73</v>
      </c>
      <c r="J100" s="5">
        <f t="shared" si="1"/>
        <v>1510.92</v>
      </c>
      <c r="K100" s="10">
        <f>YEAR(Table2[[#This Row],[Order Date]])</f>
        <v>2025</v>
      </c>
      <c r="L100">
        <f>MONTH(Table2[[#This Row],[Order Date]])</f>
        <v>2</v>
      </c>
      <c r="M100">
        <f>WEEKDAY(Table2[[#This Row],[Order Date]])</f>
        <v>6</v>
      </c>
      <c r="N100" s="5">
        <f>VLOOKUP(Table2[[#This Row],[Product]], Product_Lookup!$A$2:$B$26, 2, FALSE)</f>
        <v>146.06</v>
      </c>
      <c r="O100" s="5">
        <f>Table2[[#This Row],[Product Cost(VL)]]*Table2[[#This Row],[Quantity]]</f>
        <v>584.24</v>
      </c>
      <c r="P100" s="5">
        <f>Table2[[#This Row],[Sales Amount]]-Table2[[#This Row],[ PRODUCT COST]]</f>
        <v>926.68000000000006</v>
      </c>
    </row>
    <row r="101" spans="1:16" x14ac:dyDescent="0.25">
      <c r="A101" t="s">
        <v>194</v>
      </c>
      <c r="B101" s="3">
        <v>45717</v>
      </c>
      <c r="C101" t="s">
        <v>562</v>
      </c>
      <c r="D101" t="s">
        <v>18</v>
      </c>
      <c r="E101" t="s">
        <v>28</v>
      </c>
      <c r="F101" t="s">
        <v>33</v>
      </c>
      <c r="G101" t="s">
        <v>74</v>
      </c>
      <c r="H101" s="4">
        <v>14</v>
      </c>
      <c r="I101" s="5">
        <v>169.26</v>
      </c>
      <c r="J101" s="5">
        <f t="shared" si="1"/>
        <v>2369.64</v>
      </c>
      <c r="K101" s="10">
        <f>YEAR(Table2[[#This Row],[Order Date]])</f>
        <v>2025</v>
      </c>
      <c r="L101">
        <f>MONTH(Table2[[#This Row],[Order Date]])</f>
        <v>3</v>
      </c>
      <c r="M101">
        <f>WEEKDAY(Table2[[#This Row],[Order Date]])</f>
        <v>7</v>
      </c>
      <c r="N101" s="5">
        <f>VLOOKUP(Table2[[#This Row],[Product]], Product_Lookup!$A$2:$B$26, 2, FALSE)</f>
        <v>156.44</v>
      </c>
      <c r="O101" s="5">
        <f>Table2[[#This Row],[Product Cost(VL)]]*Table2[[#This Row],[Quantity]]</f>
        <v>2190.16</v>
      </c>
      <c r="P101" s="5">
        <f>Table2[[#This Row],[Sales Amount]]-Table2[[#This Row],[ PRODUCT COST]]</f>
        <v>179.48000000000002</v>
      </c>
    </row>
    <row r="102" spans="1:16" x14ac:dyDescent="0.25">
      <c r="A102" t="s">
        <v>195</v>
      </c>
      <c r="B102" s="3">
        <v>45718</v>
      </c>
      <c r="C102" t="s">
        <v>563</v>
      </c>
      <c r="D102" t="s">
        <v>18</v>
      </c>
      <c r="E102" t="s">
        <v>43</v>
      </c>
      <c r="F102" t="s">
        <v>33</v>
      </c>
      <c r="G102" t="s">
        <v>34</v>
      </c>
      <c r="H102" s="4">
        <v>15</v>
      </c>
      <c r="I102" s="5">
        <v>302.12</v>
      </c>
      <c r="J102" s="5">
        <f t="shared" si="1"/>
        <v>4531.8</v>
      </c>
      <c r="K102" s="10">
        <f>YEAR(Table2[[#This Row],[Order Date]])</f>
        <v>2025</v>
      </c>
      <c r="L102">
        <f>MONTH(Table2[[#This Row],[Order Date]])</f>
        <v>3</v>
      </c>
      <c r="M102">
        <f>WEEKDAY(Table2[[#This Row],[Order Date]])</f>
        <v>1</v>
      </c>
      <c r="N102" s="5">
        <f>VLOOKUP(Table2[[#This Row],[Product]], Product_Lookup!$A$2:$B$26, 2, FALSE)</f>
        <v>230.34</v>
      </c>
      <c r="O102" s="5">
        <f>Table2[[#This Row],[Product Cost(VL)]]*Table2[[#This Row],[Quantity]]</f>
        <v>3455.1</v>
      </c>
      <c r="P102" s="5">
        <f>Table2[[#This Row],[Sales Amount]]-Table2[[#This Row],[ PRODUCT COST]]</f>
        <v>1076.7000000000003</v>
      </c>
    </row>
    <row r="103" spans="1:16" x14ac:dyDescent="0.25">
      <c r="A103" t="s">
        <v>196</v>
      </c>
      <c r="B103" s="3">
        <v>45719</v>
      </c>
      <c r="C103" t="s">
        <v>564</v>
      </c>
      <c r="D103" t="s">
        <v>12</v>
      </c>
      <c r="E103" t="s">
        <v>13</v>
      </c>
      <c r="F103" t="s">
        <v>154</v>
      </c>
      <c r="G103" t="s">
        <v>44</v>
      </c>
      <c r="H103" s="4">
        <v>4</v>
      </c>
      <c r="I103" s="5">
        <v>362.84</v>
      </c>
      <c r="J103" s="5">
        <f t="shared" si="1"/>
        <v>1451.36</v>
      </c>
      <c r="K103" s="10">
        <f>YEAR(Table2[[#This Row],[Order Date]])</f>
        <v>2025</v>
      </c>
      <c r="L103">
        <f>MONTH(Table2[[#This Row],[Order Date]])</f>
        <v>3</v>
      </c>
      <c r="M103">
        <f>WEEKDAY(Table2[[#This Row],[Order Date]])</f>
        <v>2</v>
      </c>
      <c r="N103" s="5">
        <f>VLOOKUP(Table2[[#This Row],[Product]], Product_Lookup!$A$2:$B$26, 2, FALSE)</f>
        <v>86.6</v>
      </c>
      <c r="O103" s="5">
        <f>Table2[[#This Row],[Product Cost(VL)]]*Table2[[#This Row],[Quantity]]</f>
        <v>346.4</v>
      </c>
      <c r="P103" s="5">
        <f>Table2[[#This Row],[Sales Amount]]-Table2[[#This Row],[ PRODUCT COST]]</f>
        <v>1104.96</v>
      </c>
    </row>
    <row r="104" spans="1:16" x14ac:dyDescent="0.25">
      <c r="A104" t="s">
        <v>197</v>
      </c>
      <c r="B104" s="3">
        <v>45720</v>
      </c>
      <c r="C104" t="s">
        <v>565</v>
      </c>
      <c r="D104" t="s">
        <v>18</v>
      </c>
      <c r="E104" t="s">
        <v>58</v>
      </c>
      <c r="F104" t="s">
        <v>37</v>
      </c>
      <c r="G104" t="s">
        <v>61</v>
      </c>
      <c r="H104" s="4">
        <v>13</v>
      </c>
      <c r="I104" s="5">
        <v>18.45</v>
      </c>
      <c r="J104" s="5">
        <f t="shared" si="1"/>
        <v>239.85</v>
      </c>
      <c r="K104" s="10">
        <f>YEAR(Table2[[#This Row],[Order Date]])</f>
        <v>2025</v>
      </c>
      <c r="L104">
        <f>MONTH(Table2[[#This Row],[Order Date]])</f>
        <v>3</v>
      </c>
      <c r="M104">
        <f>WEEKDAY(Table2[[#This Row],[Order Date]])</f>
        <v>3</v>
      </c>
      <c r="N104" s="5">
        <f>VLOOKUP(Table2[[#This Row],[Product]], Product_Lookup!$A$2:$B$26, 2, FALSE)</f>
        <v>101.96</v>
      </c>
      <c r="O104" s="5">
        <f>Table2[[#This Row],[Product Cost(VL)]]*Table2[[#This Row],[Quantity]]</f>
        <v>1325.48</v>
      </c>
      <c r="P104" s="5">
        <f>Table2[[#This Row],[Sales Amount]]-Table2[[#This Row],[ PRODUCT COST]]</f>
        <v>-1085.6300000000001</v>
      </c>
    </row>
    <row r="105" spans="1:16" x14ac:dyDescent="0.25">
      <c r="A105" t="s">
        <v>198</v>
      </c>
      <c r="B105" s="3">
        <v>45721</v>
      </c>
      <c r="C105" t="s">
        <v>566</v>
      </c>
      <c r="D105" t="s">
        <v>23</v>
      </c>
      <c r="E105" t="s">
        <v>28</v>
      </c>
      <c r="F105" t="s">
        <v>29</v>
      </c>
      <c r="G105" t="s">
        <v>199</v>
      </c>
      <c r="H105" s="4">
        <v>10</v>
      </c>
      <c r="I105" s="5">
        <v>190.82</v>
      </c>
      <c r="J105" s="5">
        <f t="shared" si="1"/>
        <v>1908.1999999999998</v>
      </c>
      <c r="K105" s="10">
        <f>YEAR(Table2[[#This Row],[Order Date]])</f>
        <v>2025</v>
      </c>
      <c r="L105">
        <f>MONTH(Table2[[#This Row],[Order Date]])</f>
        <v>3</v>
      </c>
      <c r="M105">
        <f>WEEKDAY(Table2[[#This Row],[Order Date]])</f>
        <v>4</v>
      </c>
      <c r="N105" s="5">
        <f>VLOOKUP(Table2[[#This Row],[Product]], Product_Lookup!$A$2:$B$26, 2, FALSE)</f>
        <v>10.11</v>
      </c>
      <c r="O105" s="5">
        <f>Table2[[#This Row],[Product Cost(VL)]]*Table2[[#This Row],[Quantity]]</f>
        <v>101.1</v>
      </c>
      <c r="P105" s="5">
        <f>Table2[[#This Row],[Sales Amount]]-Table2[[#This Row],[ PRODUCT COST]]</f>
        <v>1807.1</v>
      </c>
    </row>
    <row r="106" spans="1:16" x14ac:dyDescent="0.25">
      <c r="A106" t="s">
        <v>200</v>
      </c>
      <c r="B106" s="3">
        <v>45722</v>
      </c>
      <c r="C106" t="s">
        <v>567</v>
      </c>
      <c r="D106" t="s">
        <v>18</v>
      </c>
      <c r="E106" t="s">
        <v>43</v>
      </c>
      <c r="F106" t="s">
        <v>37</v>
      </c>
      <c r="G106" t="s">
        <v>111</v>
      </c>
      <c r="H106" s="4">
        <v>6</v>
      </c>
      <c r="I106" s="5">
        <v>354.4</v>
      </c>
      <c r="J106" s="5">
        <f t="shared" si="1"/>
        <v>2126.3999999999996</v>
      </c>
      <c r="K106" s="10">
        <f>YEAR(Table2[[#This Row],[Order Date]])</f>
        <v>2025</v>
      </c>
      <c r="L106">
        <f>MONTH(Table2[[#This Row],[Order Date]])</f>
        <v>3</v>
      </c>
      <c r="M106">
        <f>WEEKDAY(Table2[[#This Row],[Order Date]])</f>
        <v>5</v>
      </c>
      <c r="N106" s="5">
        <f>VLOOKUP(Table2[[#This Row],[Product]], Product_Lookup!$A$2:$B$26, 2, FALSE)</f>
        <v>81.02</v>
      </c>
      <c r="O106" s="5">
        <f>Table2[[#This Row],[Product Cost(VL)]]*Table2[[#This Row],[Quantity]]</f>
        <v>486.12</v>
      </c>
      <c r="P106" s="5">
        <f>Table2[[#This Row],[Sales Amount]]-Table2[[#This Row],[ PRODUCT COST]]</f>
        <v>1640.2799999999997</v>
      </c>
    </row>
    <row r="107" spans="1:16" x14ac:dyDescent="0.25">
      <c r="A107" t="s">
        <v>201</v>
      </c>
      <c r="B107" s="3">
        <v>45723</v>
      </c>
      <c r="C107" t="s">
        <v>568</v>
      </c>
      <c r="D107" t="s">
        <v>23</v>
      </c>
      <c r="E107" t="s">
        <v>43</v>
      </c>
      <c r="F107" t="s">
        <v>29</v>
      </c>
      <c r="G107" t="s">
        <v>47</v>
      </c>
      <c r="H107" s="4">
        <v>4</v>
      </c>
      <c r="I107" s="5">
        <v>164.62</v>
      </c>
      <c r="J107" s="5">
        <f t="shared" si="1"/>
        <v>658.48</v>
      </c>
      <c r="K107" s="10">
        <f>YEAR(Table2[[#This Row],[Order Date]])</f>
        <v>2025</v>
      </c>
      <c r="L107">
        <f>MONTH(Table2[[#This Row],[Order Date]])</f>
        <v>3</v>
      </c>
      <c r="M107">
        <f>WEEKDAY(Table2[[#This Row],[Order Date]])</f>
        <v>6</v>
      </c>
      <c r="N107" s="5">
        <f>VLOOKUP(Table2[[#This Row],[Product]], Product_Lookup!$A$2:$B$26, 2, FALSE)</f>
        <v>107.34</v>
      </c>
      <c r="O107" s="5">
        <f>Table2[[#This Row],[Product Cost(VL)]]*Table2[[#This Row],[Quantity]]</f>
        <v>429.36</v>
      </c>
      <c r="P107" s="5">
        <f>Table2[[#This Row],[Sales Amount]]-Table2[[#This Row],[ PRODUCT COST]]</f>
        <v>229.12</v>
      </c>
    </row>
    <row r="108" spans="1:16" x14ac:dyDescent="0.25">
      <c r="A108" t="s">
        <v>203</v>
      </c>
      <c r="B108" s="3">
        <v>45724</v>
      </c>
      <c r="C108" t="s">
        <v>569</v>
      </c>
      <c r="D108" t="s">
        <v>23</v>
      </c>
      <c r="E108" t="s">
        <v>58</v>
      </c>
      <c r="F108" t="s">
        <v>29</v>
      </c>
      <c r="G108" t="s">
        <v>68</v>
      </c>
      <c r="H108" s="4">
        <v>8</v>
      </c>
      <c r="I108" s="5">
        <v>145.47999999999999</v>
      </c>
      <c r="J108" s="5">
        <f t="shared" si="1"/>
        <v>1163.8399999999999</v>
      </c>
      <c r="K108" s="10">
        <f>YEAR(Table2[[#This Row],[Order Date]])</f>
        <v>2025</v>
      </c>
      <c r="L108">
        <f>MONTH(Table2[[#This Row],[Order Date]])</f>
        <v>3</v>
      </c>
      <c r="M108">
        <f>WEEKDAY(Table2[[#This Row],[Order Date]])</f>
        <v>7</v>
      </c>
      <c r="N108" s="5">
        <f>VLOOKUP(Table2[[#This Row],[Product]], Product_Lookup!$A$2:$B$26, 2, FALSE)</f>
        <v>33.22</v>
      </c>
      <c r="O108" s="5">
        <f>Table2[[#This Row],[Product Cost(VL)]]*Table2[[#This Row],[Quantity]]</f>
        <v>265.76</v>
      </c>
      <c r="P108" s="5">
        <f>Table2[[#This Row],[Sales Amount]]-Table2[[#This Row],[ PRODUCT COST]]</f>
        <v>898.07999999999993</v>
      </c>
    </row>
    <row r="109" spans="1:16" x14ac:dyDescent="0.25">
      <c r="A109" t="s">
        <v>204</v>
      </c>
      <c r="B109" s="3">
        <v>45725</v>
      </c>
      <c r="C109" t="s">
        <v>570</v>
      </c>
      <c r="D109" t="s">
        <v>12</v>
      </c>
      <c r="E109" t="s">
        <v>669</v>
      </c>
      <c r="F109" t="s">
        <v>33</v>
      </c>
      <c r="G109" t="s">
        <v>74</v>
      </c>
      <c r="H109" s="4">
        <v>5</v>
      </c>
      <c r="I109" s="5">
        <v>121.47</v>
      </c>
      <c r="J109" s="5">
        <f t="shared" si="1"/>
        <v>607.35</v>
      </c>
      <c r="K109" s="10">
        <f>YEAR(Table2[[#This Row],[Order Date]])</f>
        <v>2025</v>
      </c>
      <c r="L109">
        <f>MONTH(Table2[[#This Row],[Order Date]])</f>
        <v>3</v>
      </c>
      <c r="M109">
        <f>WEEKDAY(Table2[[#This Row],[Order Date]])</f>
        <v>1</v>
      </c>
      <c r="N109" s="5">
        <f>VLOOKUP(Table2[[#This Row],[Product]], Product_Lookup!$A$2:$B$26, 2, FALSE)</f>
        <v>156.44</v>
      </c>
      <c r="O109" s="5">
        <f>Table2[[#This Row],[Product Cost(VL)]]*Table2[[#This Row],[Quantity]]</f>
        <v>782.2</v>
      </c>
      <c r="P109" s="5">
        <f>Table2[[#This Row],[Sales Amount]]-Table2[[#This Row],[ PRODUCT COST]]</f>
        <v>-174.85000000000002</v>
      </c>
    </row>
    <row r="110" spans="1:16" x14ac:dyDescent="0.25">
      <c r="A110" t="s">
        <v>206</v>
      </c>
      <c r="B110" s="3">
        <v>45726</v>
      </c>
      <c r="C110" t="s">
        <v>571</v>
      </c>
      <c r="D110" t="s">
        <v>18</v>
      </c>
      <c r="E110" t="s">
        <v>13</v>
      </c>
      <c r="F110" t="s">
        <v>24</v>
      </c>
      <c r="G110" t="s">
        <v>44</v>
      </c>
      <c r="H110" s="4">
        <v>1</v>
      </c>
      <c r="I110" s="5">
        <v>487.4</v>
      </c>
      <c r="J110" s="5">
        <f t="shared" si="1"/>
        <v>487.4</v>
      </c>
      <c r="K110" s="10">
        <f>YEAR(Table2[[#This Row],[Order Date]])</f>
        <v>2025</v>
      </c>
      <c r="L110">
        <f>MONTH(Table2[[#This Row],[Order Date]])</f>
        <v>3</v>
      </c>
      <c r="M110">
        <f>WEEKDAY(Table2[[#This Row],[Order Date]])</f>
        <v>2</v>
      </c>
      <c r="N110" s="5">
        <f>VLOOKUP(Table2[[#This Row],[Product]], Product_Lookup!$A$2:$B$26, 2, FALSE)</f>
        <v>86.6</v>
      </c>
      <c r="O110" s="5">
        <f>Table2[[#This Row],[Product Cost(VL)]]*Table2[[#This Row],[Quantity]]</f>
        <v>86.6</v>
      </c>
      <c r="P110" s="5">
        <f>Table2[[#This Row],[Sales Amount]]-Table2[[#This Row],[ PRODUCT COST]]</f>
        <v>400.79999999999995</v>
      </c>
    </row>
    <row r="111" spans="1:16" x14ac:dyDescent="0.25">
      <c r="A111" t="s">
        <v>207</v>
      </c>
      <c r="B111" s="3">
        <v>45727</v>
      </c>
      <c r="C111" t="s">
        <v>572</v>
      </c>
      <c r="D111" t="s">
        <v>12</v>
      </c>
      <c r="E111" t="s">
        <v>58</v>
      </c>
      <c r="F111" t="s">
        <v>37</v>
      </c>
      <c r="G111" t="s">
        <v>38</v>
      </c>
      <c r="H111" s="4">
        <v>10</v>
      </c>
      <c r="I111" s="5">
        <v>149.33000000000001</v>
      </c>
      <c r="J111" s="5">
        <f t="shared" si="1"/>
        <v>1493.3000000000002</v>
      </c>
      <c r="K111" s="10">
        <f>YEAR(Table2[[#This Row],[Order Date]])</f>
        <v>2025</v>
      </c>
      <c r="L111">
        <f>MONTH(Table2[[#This Row],[Order Date]])</f>
        <v>3</v>
      </c>
      <c r="M111">
        <f>WEEKDAY(Table2[[#This Row],[Order Date]])</f>
        <v>3</v>
      </c>
      <c r="N111" s="5">
        <f>VLOOKUP(Table2[[#This Row],[Product]], Product_Lookup!$A$2:$B$26, 2, FALSE)</f>
        <v>64.61</v>
      </c>
      <c r="O111" s="5">
        <f>Table2[[#This Row],[Product Cost(VL)]]*Table2[[#This Row],[Quantity]]</f>
        <v>646.1</v>
      </c>
      <c r="P111" s="5">
        <f>Table2[[#This Row],[Sales Amount]]-Table2[[#This Row],[ PRODUCT COST]]</f>
        <v>847.20000000000016</v>
      </c>
    </row>
    <row r="112" spans="1:16" x14ac:dyDescent="0.25">
      <c r="A112" t="s">
        <v>208</v>
      </c>
      <c r="B112" s="3">
        <v>45728</v>
      </c>
      <c r="C112" t="s">
        <v>573</v>
      </c>
      <c r="D112" t="s">
        <v>18</v>
      </c>
      <c r="E112" t="s">
        <v>43</v>
      </c>
      <c r="F112" t="s">
        <v>29</v>
      </c>
      <c r="G112" t="s">
        <v>47</v>
      </c>
      <c r="H112" s="4">
        <v>14</v>
      </c>
      <c r="I112" s="5">
        <v>244.09</v>
      </c>
      <c r="J112" s="5">
        <f t="shared" si="1"/>
        <v>3417.26</v>
      </c>
      <c r="K112" s="10">
        <f>YEAR(Table2[[#This Row],[Order Date]])</f>
        <v>2025</v>
      </c>
      <c r="L112">
        <f>MONTH(Table2[[#This Row],[Order Date]])</f>
        <v>3</v>
      </c>
      <c r="M112">
        <f>WEEKDAY(Table2[[#This Row],[Order Date]])</f>
        <v>4</v>
      </c>
      <c r="N112" s="5">
        <f>VLOOKUP(Table2[[#This Row],[Product]], Product_Lookup!$A$2:$B$26, 2, FALSE)</f>
        <v>107.34</v>
      </c>
      <c r="O112" s="5">
        <f>Table2[[#This Row],[Product Cost(VL)]]*Table2[[#This Row],[Quantity]]</f>
        <v>1502.76</v>
      </c>
      <c r="P112" s="5">
        <f>Table2[[#This Row],[Sales Amount]]-Table2[[#This Row],[ PRODUCT COST]]</f>
        <v>1914.5000000000002</v>
      </c>
    </row>
    <row r="113" spans="1:16" x14ac:dyDescent="0.25">
      <c r="A113" t="s">
        <v>209</v>
      </c>
      <c r="B113" s="3">
        <v>45729</v>
      </c>
      <c r="C113" t="s">
        <v>574</v>
      </c>
      <c r="D113" t="s">
        <v>23</v>
      </c>
      <c r="E113" t="s">
        <v>28</v>
      </c>
      <c r="F113" t="s">
        <v>14</v>
      </c>
      <c r="G113" t="s">
        <v>20</v>
      </c>
      <c r="H113" s="4">
        <v>11</v>
      </c>
      <c r="I113" s="5">
        <v>36.270000000000003</v>
      </c>
      <c r="J113" s="5">
        <f t="shared" si="1"/>
        <v>398.97</v>
      </c>
      <c r="K113" s="10">
        <f>YEAR(Table2[[#This Row],[Order Date]])</f>
        <v>2025</v>
      </c>
      <c r="L113">
        <f>MONTH(Table2[[#This Row],[Order Date]])</f>
        <v>3</v>
      </c>
      <c r="M113">
        <f>WEEKDAY(Table2[[#This Row],[Order Date]])</f>
        <v>5</v>
      </c>
      <c r="N113" s="5">
        <f>VLOOKUP(Table2[[#This Row],[Product]], Product_Lookup!$A$2:$B$26, 2, FALSE)</f>
        <v>178.83</v>
      </c>
      <c r="O113" s="5">
        <f>Table2[[#This Row],[Product Cost(VL)]]*Table2[[#This Row],[Quantity]]</f>
        <v>1967.13</v>
      </c>
      <c r="P113" s="5">
        <f>Table2[[#This Row],[Sales Amount]]-Table2[[#This Row],[ PRODUCT COST]]</f>
        <v>-1568.16</v>
      </c>
    </row>
    <row r="114" spans="1:16" x14ac:dyDescent="0.25">
      <c r="A114" t="s">
        <v>211</v>
      </c>
      <c r="B114" s="3">
        <v>45730</v>
      </c>
      <c r="C114" t="s">
        <v>575</v>
      </c>
      <c r="D114" t="s">
        <v>12</v>
      </c>
      <c r="E114" t="s">
        <v>43</v>
      </c>
      <c r="F114" t="s">
        <v>14</v>
      </c>
      <c r="G114" t="s">
        <v>81</v>
      </c>
      <c r="H114" s="4">
        <v>9</v>
      </c>
      <c r="I114" s="5">
        <v>384.58</v>
      </c>
      <c r="J114" s="5">
        <f t="shared" si="1"/>
        <v>3461.22</v>
      </c>
      <c r="K114" s="10">
        <f>YEAR(Table2[[#This Row],[Order Date]])</f>
        <v>2025</v>
      </c>
      <c r="L114">
        <f>MONTH(Table2[[#This Row],[Order Date]])</f>
        <v>3</v>
      </c>
      <c r="M114">
        <f>WEEKDAY(Table2[[#This Row],[Order Date]])</f>
        <v>6</v>
      </c>
      <c r="N114" s="5">
        <f>VLOOKUP(Table2[[#This Row],[Product]], Product_Lookup!$A$2:$B$26, 2, FALSE)</f>
        <v>216.22</v>
      </c>
      <c r="O114" s="5">
        <f>Table2[[#This Row],[Product Cost(VL)]]*Table2[[#This Row],[Quantity]]</f>
        <v>1945.98</v>
      </c>
      <c r="P114" s="5">
        <f>Table2[[#This Row],[Sales Amount]]-Table2[[#This Row],[ PRODUCT COST]]</f>
        <v>1515.2399999999998</v>
      </c>
    </row>
    <row r="115" spans="1:16" x14ac:dyDescent="0.25">
      <c r="A115" t="s">
        <v>212</v>
      </c>
      <c r="B115" s="3">
        <v>45731</v>
      </c>
      <c r="C115" t="s">
        <v>576</v>
      </c>
      <c r="D115" t="s">
        <v>18</v>
      </c>
      <c r="E115" t="s">
        <v>669</v>
      </c>
      <c r="F115" t="s">
        <v>29</v>
      </c>
      <c r="G115" t="s">
        <v>76</v>
      </c>
      <c r="H115" s="4">
        <v>8</v>
      </c>
      <c r="I115" s="5">
        <v>455.17</v>
      </c>
      <c r="J115" s="5">
        <f t="shared" si="1"/>
        <v>3641.36</v>
      </c>
      <c r="K115" s="10">
        <f>YEAR(Table2[[#This Row],[Order Date]])</f>
        <v>2025</v>
      </c>
      <c r="L115">
        <f>MONTH(Table2[[#This Row],[Order Date]])</f>
        <v>3</v>
      </c>
      <c r="M115">
        <f>WEEKDAY(Table2[[#This Row],[Order Date]])</f>
        <v>7</v>
      </c>
      <c r="N115" s="5">
        <f>VLOOKUP(Table2[[#This Row],[Product]], Product_Lookup!$A$2:$B$26, 2, FALSE)</f>
        <v>201.32</v>
      </c>
      <c r="O115" s="5">
        <f>Table2[[#This Row],[Product Cost(VL)]]*Table2[[#This Row],[Quantity]]</f>
        <v>1610.56</v>
      </c>
      <c r="P115" s="5">
        <f>Table2[[#This Row],[Sales Amount]]-Table2[[#This Row],[ PRODUCT COST]]</f>
        <v>2030.8000000000002</v>
      </c>
    </row>
    <row r="116" spans="1:16" x14ac:dyDescent="0.25">
      <c r="A116" t="s">
        <v>213</v>
      </c>
      <c r="B116" s="3">
        <v>45732</v>
      </c>
      <c r="C116" t="s">
        <v>577</v>
      </c>
      <c r="D116" t="s">
        <v>23</v>
      </c>
      <c r="E116" t="s">
        <v>28</v>
      </c>
      <c r="F116" t="s">
        <v>33</v>
      </c>
      <c r="G116" t="s">
        <v>72</v>
      </c>
      <c r="H116" s="4">
        <v>1</v>
      </c>
      <c r="I116" s="5">
        <v>308.72000000000003</v>
      </c>
      <c r="J116" s="5">
        <f t="shared" si="1"/>
        <v>308.72000000000003</v>
      </c>
      <c r="K116" s="10">
        <f>YEAR(Table2[[#This Row],[Order Date]])</f>
        <v>2025</v>
      </c>
      <c r="L116">
        <f>MONTH(Table2[[#This Row],[Order Date]])</f>
        <v>3</v>
      </c>
      <c r="M116">
        <f>WEEKDAY(Table2[[#This Row],[Order Date]])</f>
        <v>1</v>
      </c>
      <c r="N116" s="5">
        <f>VLOOKUP(Table2[[#This Row],[Product]], Product_Lookup!$A$2:$B$26, 2, FALSE)</f>
        <v>211.9</v>
      </c>
      <c r="O116" s="5">
        <f>Table2[[#This Row],[Product Cost(VL)]]*Table2[[#This Row],[Quantity]]</f>
        <v>211.9</v>
      </c>
      <c r="P116" s="5">
        <f>Table2[[#This Row],[Sales Amount]]-Table2[[#This Row],[ PRODUCT COST]]</f>
        <v>96.820000000000022</v>
      </c>
    </row>
    <row r="117" spans="1:16" x14ac:dyDescent="0.25">
      <c r="A117" t="s">
        <v>214</v>
      </c>
      <c r="B117" s="3">
        <v>45733</v>
      </c>
      <c r="C117" t="s">
        <v>578</v>
      </c>
      <c r="D117" t="s">
        <v>23</v>
      </c>
      <c r="E117" t="s">
        <v>58</v>
      </c>
      <c r="F117" t="s">
        <v>29</v>
      </c>
      <c r="G117" t="s">
        <v>199</v>
      </c>
      <c r="H117" s="4">
        <v>2</v>
      </c>
      <c r="I117" s="5">
        <v>86.96</v>
      </c>
      <c r="J117" s="5">
        <f t="shared" si="1"/>
        <v>173.92</v>
      </c>
      <c r="K117" s="10">
        <f>YEAR(Table2[[#This Row],[Order Date]])</f>
        <v>2025</v>
      </c>
      <c r="L117">
        <f>MONTH(Table2[[#This Row],[Order Date]])</f>
        <v>3</v>
      </c>
      <c r="M117">
        <f>WEEKDAY(Table2[[#This Row],[Order Date]])</f>
        <v>2</v>
      </c>
      <c r="N117" s="5">
        <f>VLOOKUP(Table2[[#This Row],[Product]], Product_Lookup!$A$2:$B$26, 2, FALSE)</f>
        <v>10.11</v>
      </c>
      <c r="O117" s="5">
        <f>Table2[[#This Row],[Product Cost(VL)]]*Table2[[#This Row],[Quantity]]</f>
        <v>20.22</v>
      </c>
      <c r="P117" s="5">
        <f>Table2[[#This Row],[Sales Amount]]-Table2[[#This Row],[ PRODUCT COST]]</f>
        <v>153.69999999999999</v>
      </c>
    </row>
    <row r="118" spans="1:16" x14ac:dyDescent="0.25">
      <c r="A118" t="s">
        <v>215</v>
      </c>
      <c r="B118" s="3">
        <v>45734</v>
      </c>
      <c r="C118" t="s">
        <v>579</v>
      </c>
      <c r="D118" t="s">
        <v>18</v>
      </c>
      <c r="E118" t="s">
        <v>13</v>
      </c>
      <c r="F118" t="s">
        <v>29</v>
      </c>
      <c r="G118" t="s">
        <v>47</v>
      </c>
      <c r="H118" s="4">
        <v>8</v>
      </c>
      <c r="I118" s="5">
        <v>347.79</v>
      </c>
      <c r="J118" s="5">
        <f t="shared" si="1"/>
        <v>2782.32</v>
      </c>
      <c r="K118" s="10">
        <f>YEAR(Table2[[#This Row],[Order Date]])</f>
        <v>2025</v>
      </c>
      <c r="L118">
        <f>MONTH(Table2[[#This Row],[Order Date]])</f>
        <v>3</v>
      </c>
      <c r="M118">
        <f>WEEKDAY(Table2[[#This Row],[Order Date]])</f>
        <v>3</v>
      </c>
      <c r="N118" s="5">
        <f>VLOOKUP(Table2[[#This Row],[Product]], Product_Lookup!$A$2:$B$26, 2, FALSE)</f>
        <v>107.34</v>
      </c>
      <c r="O118" s="5">
        <f>Table2[[#This Row],[Product Cost(VL)]]*Table2[[#This Row],[Quantity]]</f>
        <v>858.72</v>
      </c>
      <c r="P118" s="5">
        <f>Table2[[#This Row],[Sales Amount]]-Table2[[#This Row],[ PRODUCT COST]]</f>
        <v>1923.6000000000001</v>
      </c>
    </row>
    <row r="119" spans="1:16" x14ac:dyDescent="0.25">
      <c r="A119" t="s">
        <v>216</v>
      </c>
      <c r="B119" s="3">
        <v>45735</v>
      </c>
      <c r="C119" t="s">
        <v>580</v>
      </c>
      <c r="D119" t="s">
        <v>23</v>
      </c>
      <c r="E119" t="s">
        <v>13</v>
      </c>
      <c r="F119" t="s">
        <v>29</v>
      </c>
      <c r="G119" t="s">
        <v>199</v>
      </c>
      <c r="H119" s="4">
        <v>5</v>
      </c>
      <c r="I119" s="5">
        <v>354.46</v>
      </c>
      <c r="J119" s="5">
        <f t="shared" si="1"/>
        <v>1772.3</v>
      </c>
      <c r="K119" s="10">
        <f>YEAR(Table2[[#This Row],[Order Date]])</f>
        <v>2025</v>
      </c>
      <c r="L119">
        <f>MONTH(Table2[[#This Row],[Order Date]])</f>
        <v>3</v>
      </c>
      <c r="M119">
        <f>WEEKDAY(Table2[[#This Row],[Order Date]])</f>
        <v>4</v>
      </c>
      <c r="N119" s="5">
        <f>VLOOKUP(Table2[[#This Row],[Product]], Product_Lookup!$A$2:$B$26, 2, FALSE)</f>
        <v>10.11</v>
      </c>
      <c r="O119" s="5">
        <f>Table2[[#This Row],[Product Cost(VL)]]*Table2[[#This Row],[Quantity]]</f>
        <v>50.55</v>
      </c>
      <c r="P119" s="5">
        <f>Table2[[#This Row],[Sales Amount]]-Table2[[#This Row],[ PRODUCT COST]]</f>
        <v>1721.75</v>
      </c>
    </row>
    <row r="120" spans="1:16" x14ac:dyDescent="0.25">
      <c r="A120" t="s">
        <v>217</v>
      </c>
      <c r="B120" s="3">
        <v>45736</v>
      </c>
      <c r="C120" t="s">
        <v>581</v>
      </c>
      <c r="D120" t="s">
        <v>23</v>
      </c>
      <c r="E120" t="s">
        <v>58</v>
      </c>
      <c r="F120" t="s">
        <v>33</v>
      </c>
      <c r="G120" t="s">
        <v>72</v>
      </c>
      <c r="H120" s="4">
        <v>13</v>
      </c>
      <c r="I120" s="5">
        <v>467.5</v>
      </c>
      <c r="J120" s="5">
        <f t="shared" si="1"/>
        <v>6077.5</v>
      </c>
      <c r="K120" s="10">
        <f>YEAR(Table2[[#This Row],[Order Date]])</f>
        <v>2025</v>
      </c>
      <c r="L120">
        <f>MONTH(Table2[[#This Row],[Order Date]])</f>
        <v>3</v>
      </c>
      <c r="M120">
        <f>WEEKDAY(Table2[[#This Row],[Order Date]])</f>
        <v>5</v>
      </c>
      <c r="N120" s="5">
        <f>VLOOKUP(Table2[[#This Row],[Product]], Product_Lookup!$A$2:$B$26, 2, FALSE)</f>
        <v>211.9</v>
      </c>
      <c r="O120" s="5">
        <f>Table2[[#This Row],[Product Cost(VL)]]*Table2[[#This Row],[Quantity]]</f>
        <v>2754.7000000000003</v>
      </c>
      <c r="P120" s="5">
        <f>Table2[[#This Row],[Sales Amount]]-Table2[[#This Row],[ PRODUCT COST]]</f>
        <v>3322.7999999999997</v>
      </c>
    </row>
    <row r="121" spans="1:16" x14ac:dyDescent="0.25">
      <c r="A121" t="s">
        <v>218</v>
      </c>
      <c r="B121" s="3">
        <v>45737</v>
      </c>
      <c r="C121" t="s">
        <v>582</v>
      </c>
      <c r="D121" t="s">
        <v>18</v>
      </c>
      <c r="E121" t="s">
        <v>669</v>
      </c>
      <c r="F121" t="s">
        <v>29</v>
      </c>
      <c r="G121" t="s">
        <v>68</v>
      </c>
      <c r="H121" s="4">
        <v>14</v>
      </c>
      <c r="I121" s="5">
        <v>79.7</v>
      </c>
      <c r="J121" s="5">
        <f t="shared" si="1"/>
        <v>1115.8</v>
      </c>
      <c r="K121" s="10">
        <f>YEAR(Table2[[#This Row],[Order Date]])</f>
        <v>2025</v>
      </c>
      <c r="L121">
        <f>MONTH(Table2[[#This Row],[Order Date]])</f>
        <v>3</v>
      </c>
      <c r="M121">
        <f>WEEKDAY(Table2[[#This Row],[Order Date]])</f>
        <v>6</v>
      </c>
      <c r="N121" s="5">
        <f>VLOOKUP(Table2[[#This Row],[Product]], Product_Lookup!$A$2:$B$26, 2, FALSE)</f>
        <v>33.22</v>
      </c>
      <c r="O121" s="5">
        <f>Table2[[#This Row],[Product Cost(VL)]]*Table2[[#This Row],[Quantity]]</f>
        <v>465.08</v>
      </c>
      <c r="P121" s="5">
        <f>Table2[[#This Row],[Sales Amount]]-Table2[[#This Row],[ PRODUCT COST]]</f>
        <v>650.72</v>
      </c>
    </row>
    <row r="122" spans="1:16" x14ac:dyDescent="0.25">
      <c r="A122" t="s">
        <v>219</v>
      </c>
      <c r="B122" s="3">
        <v>45738</v>
      </c>
      <c r="C122" t="s">
        <v>583</v>
      </c>
      <c r="D122" t="s">
        <v>18</v>
      </c>
      <c r="E122" t="s">
        <v>43</v>
      </c>
      <c r="F122" t="s">
        <v>24</v>
      </c>
      <c r="G122" t="s">
        <v>121</v>
      </c>
      <c r="H122" s="4">
        <v>8</v>
      </c>
      <c r="I122" s="5">
        <v>70.930000000000007</v>
      </c>
      <c r="J122" s="5">
        <f t="shared" si="1"/>
        <v>567.44000000000005</v>
      </c>
      <c r="K122" s="10">
        <f>YEAR(Table2[[#This Row],[Order Date]])</f>
        <v>2025</v>
      </c>
      <c r="L122">
        <f>MONTH(Table2[[#This Row],[Order Date]])</f>
        <v>3</v>
      </c>
      <c r="M122">
        <f>WEEKDAY(Table2[[#This Row],[Order Date]])</f>
        <v>7</v>
      </c>
      <c r="N122" s="5">
        <f>VLOOKUP(Table2[[#This Row],[Product]], Product_Lookup!$A$2:$B$26, 2, FALSE)</f>
        <v>32.94</v>
      </c>
      <c r="O122" s="5">
        <f>Table2[[#This Row],[Product Cost(VL)]]*Table2[[#This Row],[Quantity]]</f>
        <v>263.52</v>
      </c>
      <c r="P122" s="5">
        <f>Table2[[#This Row],[Sales Amount]]-Table2[[#This Row],[ PRODUCT COST]]</f>
        <v>303.92000000000007</v>
      </c>
    </row>
    <row r="123" spans="1:16" x14ac:dyDescent="0.25">
      <c r="A123" t="s">
        <v>220</v>
      </c>
      <c r="B123" s="3">
        <v>45739</v>
      </c>
      <c r="C123" t="s">
        <v>584</v>
      </c>
      <c r="D123" t="s">
        <v>18</v>
      </c>
      <c r="E123" t="s">
        <v>28</v>
      </c>
      <c r="F123" t="s">
        <v>33</v>
      </c>
      <c r="G123" t="s">
        <v>72</v>
      </c>
      <c r="H123" s="4">
        <v>8</v>
      </c>
      <c r="I123" s="5">
        <v>224.5</v>
      </c>
      <c r="J123" s="5">
        <f t="shared" si="1"/>
        <v>1796</v>
      </c>
      <c r="K123" s="10">
        <f>YEAR(Table2[[#This Row],[Order Date]])</f>
        <v>2025</v>
      </c>
      <c r="L123">
        <f>MONTH(Table2[[#This Row],[Order Date]])</f>
        <v>3</v>
      </c>
      <c r="M123">
        <f>WEEKDAY(Table2[[#This Row],[Order Date]])</f>
        <v>1</v>
      </c>
      <c r="N123" s="5">
        <f>VLOOKUP(Table2[[#This Row],[Product]], Product_Lookup!$A$2:$B$26, 2, FALSE)</f>
        <v>211.9</v>
      </c>
      <c r="O123" s="5">
        <f>Table2[[#This Row],[Product Cost(VL)]]*Table2[[#This Row],[Quantity]]</f>
        <v>1695.2</v>
      </c>
      <c r="P123" s="5">
        <f>Table2[[#This Row],[Sales Amount]]-Table2[[#This Row],[ PRODUCT COST]]</f>
        <v>100.79999999999995</v>
      </c>
    </row>
    <row r="124" spans="1:16" x14ac:dyDescent="0.25">
      <c r="A124" t="s">
        <v>221</v>
      </c>
      <c r="B124" s="3">
        <v>45740</v>
      </c>
      <c r="C124" t="s">
        <v>585</v>
      </c>
      <c r="D124" t="s">
        <v>18</v>
      </c>
      <c r="E124" t="s">
        <v>28</v>
      </c>
      <c r="F124" t="s">
        <v>33</v>
      </c>
      <c r="G124" t="s">
        <v>72</v>
      </c>
      <c r="H124" s="4">
        <v>1</v>
      </c>
      <c r="I124" s="5">
        <v>54.75</v>
      </c>
      <c r="J124" s="5">
        <f t="shared" si="1"/>
        <v>54.75</v>
      </c>
      <c r="K124" s="10">
        <f>YEAR(Table2[[#This Row],[Order Date]])</f>
        <v>2025</v>
      </c>
      <c r="L124">
        <f>MONTH(Table2[[#This Row],[Order Date]])</f>
        <v>3</v>
      </c>
      <c r="M124">
        <f>WEEKDAY(Table2[[#This Row],[Order Date]])</f>
        <v>2</v>
      </c>
      <c r="N124" s="5">
        <f>VLOOKUP(Table2[[#This Row],[Product]], Product_Lookup!$A$2:$B$26, 2, FALSE)</f>
        <v>211.9</v>
      </c>
      <c r="O124" s="5">
        <f>Table2[[#This Row],[Product Cost(VL)]]*Table2[[#This Row],[Quantity]]</f>
        <v>211.9</v>
      </c>
      <c r="P124" s="5">
        <f>Table2[[#This Row],[Sales Amount]]-Table2[[#This Row],[ PRODUCT COST]]</f>
        <v>-157.15</v>
      </c>
    </row>
    <row r="125" spans="1:16" x14ac:dyDescent="0.25">
      <c r="A125" t="s">
        <v>222</v>
      </c>
      <c r="B125" s="3">
        <v>45741</v>
      </c>
      <c r="C125" t="s">
        <v>586</v>
      </c>
      <c r="D125" t="s">
        <v>23</v>
      </c>
      <c r="E125" t="s">
        <v>669</v>
      </c>
      <c r="F125" t="s">
        <v>14</v>
      </c>
      <c r="G125" t="s">
        <v>15</v>
      </c>
      <c r="H125" s="4">
        <v>1</v>
      </c>
      <c r="I125" s="5">
        <v>383.92</v>
      </c>
      <c r="J125" s="5">
        <f t="shared" si="1"/>
        <v>383.92</v>
      </c>
      <c r="K125" s="10">
        <f>YEAR(Table2[[#This Row],[Order Date]])</f>
        <v>2025</v>
      </c>
      <c r="L125">
        <f>MONTH(Table2[[#This Row],[Order Date]])</f>
        <v>3</v>
      </c>
      <c r="M125">
        <f>WEEKDAY(Table2[[#This Row],[Order Date]])</f>
        <v>3</v>
      </c>
      <c r="N125" s="5">
        <f>VLOOKUP(Table2[[#This Row],[Product]], Product_Lookup!$A$2:$B$26, 2, FALSE)</f>
        <v>146.06</v>
      </c>
      <c r="O125" s="5">
        <f>Table2[[#This Row],[Product Cost(VL)]]*Table2[[#This Row],[Quantity]]</f>
        <v>146.06</v>
      </c>
      <c r="P125" s="5">
        <f>Table2[[#This Row],[Sales Amount]]-Table2[[#This Row],[ PRODUCT COST]]</f>
        <v>237.86</v>
      </c>
    </row>
    <row r="126" spans="1:16" x14ac:dyDescent="0.25">
      <c r="A126" t="s">
        <v>223</v>
      </c>
      <c r="B126" s="3">
        <v>45742</v>
      </c>
      <c r="C126" t="s">
        <v>587</v>
      </c>
      <c r="D126" t="s">
        <v>12</v>
      </c>
      <c r="E126" t="s">
        <v>669</v>
      </c>
      <c r="F126" t="s">
        <v>37</v>
      </c>
      <c r="G126" t="s">
        <v>176</v>
      </c>
      <c r="H126" s="4">
        <v>10</v>
      </c>
      <c r="I126" s="5">
        <v>223.58</v>
      </c>
      <c r="J126" s="5">
        <f t="shared" si="1"/>
        <v>2235.8000000000002</v>
      </c>
      <c r="K126" s="10">
        <f>YEAR(Table2[[#This Row],[Order Date]])</f>
        <v>2025</v>
      </c>
      <c r="L126">
        <f>MONTH(Table2[[#This Row],[Order Date]])</f>
        <v>3</v>
      </c>
      <c r="M126">
        <f>WEEKDAY(Table2[[#This Row],[Order Date]])</f>
        <v>4</v>
      </c>
      <c r="N126" s="5">
        <f>VLOOKUP(Table2[[#This Row],[Product]], Product_Lookup!$A$2:$B$26, 2, FALSE)</f>
        <v>133.37</v>
      </c>
      <c r="O126" s="5">
        <f>Table2[[#This Row],[Product Cost(VL)]]*Table2[[#This Row],[Quantity]]</f>
        <v>1333.7</v>
      </c>
      <c r="P126" s="5">
        <f>Table2[[#This Row],[Sales Amount]]-Table2[[#This Row],[ PRODUCT COST]]</f>
        <v>902.10000000000014</v>
      </c>
    </row>
    <row r="127" spans="1:16" x14ac:dyDescent="0.25">
      <c r="A127" t="s">
        <v>224</v>
      </c>
      <c r="B127" s="3">
        <v>45743</v>
      </c>
      <c r="C127" t="s">
        <v>588</v>
      </c>
      <c r="D127" t="s">
        <v>18</v>
      </c>
      <c r="E127" t="s">
        <v>28</v>
      </c>
      <c r="F127" t="s">
        <v>33</v>
      </c>
      <c r="G127" t="s">
        <v>89</v>
      </c>
      <c r="H127" s="4">
        <v>6</v>
      </c>
      <c r="I127" s="5">
        <v>338.37</v>
      </c>
      <c r="J127" s="5">
        <f t="shared" si="1"/>
        <v>2030.22</v>
      </c>
      <c r="K127" s="10">
        <f>YEAR(Table2[[#This Row],[Order Date]])</f>
        <v>2025</v>
      </c>
      <c r="L127">
        <f>MONTH(Table2[[#This Row],[Order Date]])</f>
        <v>3</v>
      </c>
      <c r="M127">
        <f>WEEKDAY(Table2[[#This Row],[Order Date]])</f>
        <v>5</v>
      </c>
      <c r="N127" s="5">
        <f>VLOOKUP(Table2[[#This Row],[Product]], Product_Lookup!$A$2:$B$26, 2, FALSE)</f>
        <v>26.59</v>
      </c>
      <c r="O127" s="5">
        <f>Table2[[#This Row],[Product Cost(VL)]]*Table2[[#This Row],[Quantity]]</f>
        <v>159.54</v>
      </c>
      <c r="P127" s="5">
        <f>Table2[[#This Row],[Sales Amount]]-Table2[[#This Row],[ PRODUCT COST]]</f>
        <v>1870.68</v>
      </c>
    </row>
    <row r="128" spans="1:16" x14ac:dyDescent="0.25">
      <c r="A128" t="s">
        <v>225</v>
      </c>
      <c r="B128" s="3">
        <v>45744</v>
      </c>
      <c r="C128" t="s">
        <v>589</v>
      </c>
      <c r="D128" t="s">
        <v>23</v>
      </c>
      <c r="E128" t="s">
        <v>28</v>
      </c>
      <c r="F128" t="s">
        <v>37</v>
      </c>
      <c r="G128" t="s">
        <v>176</v>
      </c>
      <c r="H128" s="4">
        <v>7</v>
      </c>
      <c r="I128" s="5">
        <v>408.65</v>
      </c>
      <c r="J128" s="5">
        <f t="shared" si="1"/>
        <v>2860.5499999999997</v>
      </c>
      <c r="K128" s="10">
        <f>YEAR(Table2[[#This Row],[Order Date]])</f>
        <v>2025</v>
      </c>
      <c r="L128">
        <f>MONTH(Table2[[#This Row],[Order Date]])</f>
        <v>3</v>
      </c>
      <c r="M128">
        <f>WEEKDAY(Table2[[#This Row],[Order Date]])</f>
        <v>6</v>
      </c>
      <c r="N128" s="5">
        <f>VLOOKUP(Table2[[#This Row],[Product]], Product_Lookup!$A$2:$B$26, 2, FALSE)</f>
        <v>133.37</v>
      </c>
      <c r="O128" s="5">
        <f>Table2[[#This Row],[Product Cost(VL)]]*Table2[[#This Row],[Quantity]]</f>
        <v>933.59</v>
      </c>
      <c r="P128" s="5">
        <f>Table2[[#This Row],[Sales Amount]]-Table2[[#This Row],[ PRODUCT COST]]</f>
        <v>1926.9599999999996</v>
      </c>
    </row>
    <row r="129" spans="1:16" x14ac:dyDescent="0.25">
      <c r="A129" t="s">
        <v>226</v>
      </c>
      <c r="B129" s="3">
        <v>45745</v>
      </c>
      <c r="C129" t="s">
        <v>590</v>
      </c>
      <c r="D129" t="s">
        <v>18</v>
      </c>
      <c r="E129" t="s">
        <v>28</v>
      </c>
      <c r="F129" t="s">
        <v>14</v>
      </c>
      <c r="G129" t="s">
        <v>15</v>
      </c>
      <c r="H129" s="4">
        <v>6</v>
      </c>
      <c r="I129" s="5">
        <v>66.8</v>
      </c>
      <c r="J129" s="5">
        <f t="shared" si="1"/>
        <v>400.79999999999995</v>
      </c>
      <c r="K129" s="10">
        <f>YEAR(Table2[[#This Row],[Order Date]])</f>
        <v>2025</v>
      </c>
      <c r="L129">
        <f>MONTH(Table2[[#This Row],[Order Date]])</f>
        <v>3</v>
      </c>
      <c r="M129">
        <f>WEEKDAY(Table2[[#This Row],[Order Date]])</f>
        <v>7</v>
      </c>
      <c r="N129" s="5">
        <f>VLOOKUP(Table2[[#This Row],[Product]], Product_Lookup!$A$2:$B$26, 2, FALSE)</f>
        <v>146.06</v>
      </c>
      <c r="O129" s="5">
        <f>Table2[[#This Row],[Product Cost(VL)]]*Table2[[#This Row],[Quantity]]</f>
        <v>876.36</v>
      </c>
      <c r="P129" s="5">
        <f>Table2[[#This Row],[Sales Amount]]-Table2[[#This Row],[ PRODUCT COST]]</f>
        <v>-475.56000000000006</v>
      </c>
    </row>
    <row r="130" spans="1:16" x14ac:dyDescent="0.25">
      <c r="A130" t="s">
        <v>227</v>
      </c>
      <c r="B130" s="3">
        <v>45746</v>
      </c>
      <c r="C130" t="s">
        <v>591</v>
      </c>
      <c r="D130" t="s">
        <v>18</v>
      </c>
      <c r="E130" t="s">
        <v>669</v>
      </c>
      <c r="F130" t="s">
        <v>14</v>
      </c>
      <c r="G130" t="s">
        <v>20</v>
      </c>
      <c r="H130" s="4">
        <v>7</v>
      </c>
      <c r="I130" s="5">
        <v>36.56</v>
      </c>
      <c r="J130" s="5">
        <f t="shared" si="1"/>
        <v>255.92000000000002</v>
      </c>
      <c r="K130" s="10">
        <f>YEAR(Table2[[#This Row],[Order Date]])</f>
        <v>2025</v>
      </c>
      <c r="L130">
        <f>MONTH(Table2[[#This Row],[Order Date]])</f>
        <v>3</v>
      </c>
      <c r="M130">
        <f>WEEKDAY(Table2[[#This Row],[Order Date]])</f>
        <v>1</v>
      </c>
      <c r="N130" s="5">
        <f>VLOOKUP(Table2[[#This Row],[Product]], Product_Lookup!$A$2:$B$26, 2, FALSE)</f>
        <v>178.83</v>
      </c>
      <c r="O130" s="5">
        <f>Table2[[#This Row],[Product Cost(VL)]]*Table2[[#This Row],[Quantity]]</f>
        <v>1251.8100000000002</v>
      </c>
      <c r="P130" s="5">
        <f>Table2[[#This Row],[Sales Amount]]-Table2[[#This Row],[ PRODUCT COST]]</f>
        <v>-995.8900000000001</v>
      </c>
    </row>
    <row r="131" spans="1:16" x14ac:dyDescent="0.25">
      <c r="A131" t="s">
        <v>228</v>
      </c>
      <c r="B131" s="3">
        <v>45747</v>
      </c>
      <c r="C131" t="s">
        <v>592</v>
      </c>
      <c r="D131" t="s">
        <v>12</v>
      </c>
      <c r="E131" t="s">
        <v>669</v>
      </c>
      <c r="F131" t="s">
        <v>37</v>
      </c>
      <c r="G131" t="s">
        <v>61</v>
      </c>
      <c r="H131" s="4">
        <v>4</v>
      </c>
      <c r="I131" s="5">
        <v>140.86000000000001</v>
      </c>
      <c r="J131" s="5">
        <f t="shared" si="1"/>
        <v>563.44000000000005</v>
      </c>
      <c r="K131" s="10">
        <f>YEAR(Table2[[#This Row],[Order Date]])</f>
        <v>2025</v>
      </c>
      <c r="L131">
        <f>MONTH(Table2[[#This Row],[Order Date]])</f>
        <v>3</v>
      </c>
      <c r="M131">
        <f>WEEKDAY(Table2[[#This Row],[Order Date]])</f>
        <v>2</v>
      </c>
      <c r="N131" s="5">
        <f>VLOOKUP(Table2[[#This Row],[Product]], Product_Lookup!$A$2:$B$26, 2, FALSE)</f>
        <v>101.96</v>
      </c>
      <c r="O131" s="5">
        <f>Table2[[#This Row],[Product Cost(VL)]]*Table2[[#This Row],[Quantity]]</f>
        <v>407.84</v>
      </c>
      <c r="P131" s="5">
        <f>Table2[[#This Row],[Sales Amount]]-Table2[[#This Row],[ PRODUCT COST]]</f>
        <v>155.60000000000008</v>
      </c>
    </row>
    <row r="132" spans="1:16" x14ac:dyDescent="0.25">
      <c r="A132" t="s">
        <v>229</v>
      </c>
      <c r="B132" s="3">
        <v>45748</v>
      </c>
      <c r="C132" t="s">
        <v>593</v>
      </c>
      <c r="D132" t="s">
        <v>12</v>
      </c>
      <c r="E132" t="s">
        <v>28</v>
      </c>
      <c r="F132" t="s">
        <v>37</v>
      </c>
      <c r="G132" t="s">
        <v>38</v>
      </c>
      <c r="H132" s="4">
        <v>11</v>
      </c>
      <c r="I132" s="5">
        <v>308.35000000000002</v>
      </c>
      <c r="J132" s="5">
        <f t="shared" ref="J132:J195" si="2">I132*H132</f>
        <v>3391.8500000000004</v>
      </c>
      <c r="K132" s="10">
        <f>YEAR(Table2[[#This Row],[Order Date]])</f>
        <v>2025</v>
      </c>
      <c r="L132">
        <f>MONTH(Table2[[#This Row],[Order Date]])</f>
        <v>4</v>
      </c>
      <c r="M132">
        <f>WEEKDAY(Table2[[#This Row],[Order Date]])</f>
        <v>3</v>
      </c>
      <c r="N132" s="5">
        <f>VLOOKUP(Table2[[#This Row],[Product]], Product_Lookup!$A$2:$B$26, 2, FALSE)</f>
        <v>64.61</v>
      </c>
      <c r="O132" s="5">
        <f>Table2[[#This Row],[Product Cost(VL)]]*Table2[[#This Row],[Quantity]]</f>
        <v>710.71</v>
      </c>
      <c r="P132" s="5">
        <f>Table2[[#This Row],[Sales Amount]]-Table2[[#This Row],[ PRODUCT COST]]</f>
        <v>2681.1400000000003</v>
      </c>
    </row>
    <row r="133" spans="1:16" x14ac:dyDescent="0.25">
      <c r="A133" t="s">
        <v>230</v>
      </c>
      <c r="B133" s="3">
        <v>45749</v>
      </c>
      <c r="C133" t="s">
        <v>594</v>
      </c>
      <c r="D133" t="s">
        <v>12</v>
      </c>
      <c r="E133" t="s">
        <v>58</v>
      </c>
      <c r="F133" t="s">
        <v>33</v>
      </c>
      <c r="G133" t="s">
        <v>72</v>
      </c>
      <c r="H133" s="4">
        <v>9</v>
      </c>
      <c r="I133" s="5">
        <v>209.92</v>
      </c>
      <c r="J133" s="5">
        <f t="shared" si="2"/>
        <v>1889.28</v>
      </c>
      <c r="K133" s="10">
        <f>YEAR(Table2[[#This Row],[Order Date]])</f>
        <v>2025</v>
      </c>
      <c r="L133">
        <f>MONTH(Table2[[#This Row],[Order Date]])</f>
        <v>4</v>
      </c>
      <c r="M133">
        <f>WEEKDAY(Table2[[#This Row],[Order Date]])</f>
        <v>4</v>
      </c>
      <c r="N133" s="5">
        <f>VLOOKUP(Table2[[#This Row],[Product]], Product_Lookup!$A$2:$B$26, 2, FALSE)</f>
        <v>211.9</v>
      </c>
      <c r="O133" s="5">
        <f>Table2[[#This Row],[Product Cost(VL)]]*Table2[[#This Row],[Quantity]]</f>
        <v>1907.1000000000001</v>
      </c>
      <c r="P133" s="5">
        <f>Table2[[#This Row],[Sales Amount]]-Table2[[#This Row],[ PRODUCT COST]]</f>
        <v>-17.820000000000164</v>
      </c>
    </row>
    <row r="134" spans="1:16" x14ac:dyDescent="0.25">
      <c r="A134" t="s">
        <v>231</v>
      </c>
      <c r="B134" s="3">
        <v>45750</v>
      </c>
      <c r="C134" t="s">
        <v>595</v>
      </c>
      <c r="D134" t="s">
        <v>18</v>
      </c>
      <c r="E134" t="s">
        <v>28</v>
      </c>
      <c r="F134" t="s">
        <v>14</v>
      </c>
      <c r="G134" t="s">
        <v>81</v>
      </c>
      <c r="H134" s="4">
        <v>15</v>
      </c>
      <c r="I134" s="5">
        <v>361.14</v>
      </c>
      <c r="J134" s="5">
        <f t="shared" si="2"/>
        <v>5417.0999999999995</v>
      </c>
      <c r="K134" s="10">
        <f>YEAR(Table2[[#This Row],[Order Date]])</f>
        <v>2025</v>
      </c>
      <c r="L134">
        <f>MONTH(Table2[[#This Row],[Order Date]])</f>
        <v>4</v>
      </c>
      <c r="M134">
        <f>WEEKDAY(Table2[[#This Row],[Order Date]])</f>
        <v>5</v>
      </c>
      <c r="N134" s="5">
        <f>VLOOKUP(Table2[[#This Row],[Product]], Product_Lookup!$A$2:$B$26, 2, FALSE)</f>
        <v>216.22</v>
      </c>
      <c r="O134" s="5">
        <f>Table2[[#This Row],[Product Cost(VL)]]*Table2[[#This Row],[Quantity]]</f>
        <v>3243.3</v>
      </c>
      <c r="P134" s="5">
        <f>Table2[[#This Row],[Sales Amount]]-Table2[[#This Row],[ PRODUCT COST]]</f>
        <v>2173.7999999999993</v>
      </c>
    </row>
    <row r="135" spans="1:16" x14ac:dyDescent="0.25">
      <c r="A135" t="s">
        <v>233</v>
      </c>
      <c r="B135" s="3">
        <v>45751</v>
      </c>
      <c r="C135" t="s">
        <v>596</v>
      </c>
      <c r="D135" t="s">
        <v>18</v>
      </c>
      <c r="E135" t="s">
        <v>43</v>
      </c>
      <c r="F135" t="s">
        <v>165</v>
      </c>
      <c r="G135" t="s">
        <v>61</v>
      </c>
      <c r="H135" s="4">
        <v>4</v>
      </c>
      <c r="I135" s="5">
        <v>233.83</v>
      </c>
      <c r="J135" s="5">
        <f t="shared" si="2"/>
        <v>935.32</v>
      </c>
      <c r="K135" s="10">
        <f>YEAR(Table2[[#This Row],[Order Date]])</f>
        <v>2025</v>
      </c>
      <c r="L135">
        <f>MONTH(Table2[[#This Row],[Order Date]])</f>
        <v>4</v>
      </c>
      <c r="M135">
        <f>WEEKDAY(Table2[[#This Row],[Order Date]])</f>
        <v>6</v>
      </c>
      <c r="N135" s="5">
        <f>VLOOKUP(Table2[[#This Row],[Product]], Product_Lookup!$A$2:$B$26, 2, FALSE)</f>
        <v>101.96</v>
      </c>
      <c r="O135" s="5">
        <f>Table2[[#This Row],[Product Cost(VL)]]*Table2[[#This Row],[Quantity]]</f>
        <v>407.84</v>
      </c>
      <c r="P135" s="5">
        <f>Table2[[#This Row],[Sales Amount]]-Table2[[#This Row],[ PRODUCT COST]]</f>
        <v>527.48</v>
      </c>
    </row>
    <row r="136" spans="1:16" x14ac:dyDescent="0.25">
      <c r="A136" t="s">
        <v>234</v>
      </c>
      <c r="B136" s="3">
        <v>45752</v>
      </c>
      <c r="C136" t="s">
        <v>597</v>
      </c>
      <c r="D136" t="s">
        <v>23</v>
      </c>
      <c r="E136" t="s">
        <v>58</v>
      </c>
      <c r="F136" t="s">
        <v>24</v>
      </c>
      <c r="G136" t="s">
        <v>121</v>
      </c>
      <c r="H136" s="4">
        <v>15</v>
      </c>
      <c r="I136" s="5">
        <v>76.89</v>
      </c>
      <c r="J136" s="5">
        <f t="shared" si="2"/>
        <v>1153.3499999999999</v>
      </c>
      <c r="K136" s="10">
        <f>YEAR(Table2[[#This Row],[Order Date]])</f>
        <v>2025</v>
      </c>
      <c r="L136">
        <f>MONTH(Table2[[#This Row],[Order Date]])</f>
        <v>4</v>
      </c>
      <c r="M136">
        <f>WEEKDAY(Table2[[#This Row],[Order Date]])</f>
        <v>7</v>
      </c>
      <c r="N136" s="5">
        <f>VLOOKUP(Table2[[#This Row],[Product]], Product_Lookup!$A$2:$B$26, 2, FALSE)</f>
        <v>32.94</v>
      </c>
      <c r="O136" s="5">
        <f>Table2[[#This Row],[Product Cost(VL)]]*Table2[[#This Row],[Quantity]]</f>
        <v>494.09999999999997</v>
      </c>
      <c r="P136" s="5">
        <f>Table2[[#This Row],[Sales Amount]]-Table2[[#This Row],[ PRODUCT COST]]</f>
        <v>659.25</v>
      </c>
    </row>
    <row r="137" spans="1:16" x14ac:dyDescent="0.25">
      <c r="A137" t="s">
        <v>235</v>
      </c>
      <c r="B137" s="3">
        <v>45753</v>
      </c>
      <c r="C137" t="s">
        <v>598</v>
      </c>
      <c r="D137" t="s">
        <v>18</v>
      </c>
      <c r="E137" t="s">
        <v>28</v>
      </c>
      <c r="F137" t="s">
        <v>33</v>
      </c>
      <c r="G137" t="s">
        <v>72</v>
      </c>
      <c r="H137" s="4">
        <v>14</v>
      </c>
      <c r="I137" s="5">
        <v>11.26</v>
      </c>
      <c r="J137" s="5">
        <f t="shared" si="2"/>
        <v>157.63999999999999</v>
      </c>
      <c r="K137" s="10">
        <f>YEAR(Table2[[#This Row],[Order Date]])</f>
        <v>2025</v>
      </c>
      <c r="L137">
        <f>MONTH(Table2[[#This Row],[Order Date]])</f>
        <v>4</v>
      </c>
      <c r="M137">
        <f>WEEKDAY(Table2[[#This Row],[Order Date]])</f>
        <v>1</v>
      </c>
      <c r="N137" s="5">
        <f>VLOOKUP(Table2[[#This Row],[Product]], Product_Lookup!$A$2:$B$26, 2, FALSE)</f>
        <v>211.9</v>
      </c>
      <c r="O137" s="5">
        <f>Table2[[#This Row],[Product Cost(VL)]]*Table2[[#This Row],[Quantity]]</f>
        <v>2966.6</v>
      </c>
      <c r="P137" s="5">
        <f>Table2[[#This Row],[Sales Amount]]-Table2[[#This Row],[ PRODUCT COST]]</f>
        <v>-2808.96</v>
      </c>
    </row>
    <row r="138" spans="1:16" x14ac:dyDescent="0.25">
      <c r="A138" t="s">
        <v>236</v>
      </c>
      <c r="B138" s="3">
        <v>45754</v>
      </c>
      <c r="C138" t="s">
        <v>599</v>
      </c>
      <c r="D138" t="s">
        <v>12</v>
      </c>
      <c r="E138" t="s">
        <v>669</v>
      </c>
      <c r="F138" t="s">
        <v>24</v>
      </c>
      <c r="G138" t="s">
        <v>86</v>
      </c>
      <c r="H138" s="4">
        <v>8</v>
      </c>
      <c r="I138" s="5">
        <v>273.89999999999998</v>
      </c>
      <c r="J138" s="5">
        <f t="shared" si="2"/>
        <v>2191.1999999999998</v>
      </c>
      <c r="K138" s="10">
        <f>YEAR(Table2[[#This Row],[Order Date]])</f>
        <v>2025</v>
      </c>
      <c r="L138">
        <f>MONTH(Table2[[#This Row],[Order Date]])</f>
        <v>4</v>
      </c>
      <c r="M138">
        <f>WEEKDAY(Table2[[#This Row],[Order Date]])</f>
        <v>2</v>
      </c>
      <c r="N138" s="5">
        <f>VLOOKUP(Table2[[#This Row],[Product]], Product_Lookup!$A$2:$B$26, 2, FALSE)</f>
        <v>130.07</v>
      </c>
      <c r="O138" s="5">
        <f>Table2[[#This Row],[Product Cost(VL)]]*Table2[[#This Row],[Quantity]]</f>
        <v>1040.56</v>
      </c>
      <c r="P138" s="5">
        <f>Table2[[#This Row],[Sales Amount]]-Table2[[#This Row],[ PRODUCT COST]]</f>
        <v>1150.6399999999999</v>
      </c>
    </row>
    <row r="139" spans="1:16" x14ac:dyDescent="0.25">
      <c r="A139" t="s">
        <v>238</v>
      </c>
      <c r="B139" s="3">
        <v>45755</v>
      </c>
      <c r="C139" t="s">
        <v>600</v>
      </c>
      <c r="D139" t="s">
        <v>18</v>
      </c>
      <c r="E139" t="s">
        <v>669</v>
      </c>
      <c r="F139" t="s">
        <v>24</v>
      </c>
      <c r="G139" t="s">
        <v>86</v>
      </c>
      <c r="H139" s="4">
        <v>15</v>
      </c>
      <c r="I139" s="5">
        <v>167.67</v>
      </c>
      <c r="J139" s="5">
        <f t="shared" si="2"/>
        <v>2515.0499999999997</v>
      </c>
      <c r="K139" s="10">
        <f>YEAR(Table2[[#This Row],[Order Date]])</f>
        <v>2025</v>
      </c>
      <c r="L139">
        <f>MONTH(Table2[[#This Row],[Order Date]])</f>
        <v>4</v>
      </c>
      <c r="M139">
        <f>WEEKDAY(Table2[[#This Row],[Order Date]])</f>
        <v>3</v>
      </c>
      <c r="N139" s="5">
        <f>VLOOKUP(Table2[[#This Row],[Product]], Product_Lookup!$A$2:$B$26, 2, FALSE)</f>
        <v>130.07</v>
      </c>
      <c r="O139" s="5">
        <f>Table2[[#This Row],[Product Cost(VL)]]*Table2[[#This Row],[Quantity]]</f>
        <v>1951.05</v>
      </c>
      <c r="P139" s="5">
        <f>Table2[[#This Row],[Sales Amount]]-Table2[[#This Row],[ PRODUCT COST]]</f>
        <v>563.99999999999977</v>
      </c>
    </row>
    <row r="140" spans="1:16" x14ac:dyDescent="0.25">
      <c r="A140" t="s">
        <v>239</v>
      </c>
      <c r="B140" s="3">
        <v>45756</v>
      </c>
      <c r="C140" t="s">
        <v>601</v>
      </c>
      <c r="D140" t="s">
        <v>12</v>
      </c>
      <c r="E140" t="s">
        <v>58</v>
      </c>
      <c r="F140" t="s">
        <v>24</v>
      </c>
      <c r="G140" t="s">
        <v>86</v>
      </c>
      <c r="H140" s="4">
        <v>14</v>
      </c>
      <c r="I140" s="5">
        <v>390.02</v>
      </c>
      <c r="J140" s="5">
        <f t="shared" si="2"/>
        <v>5460.28</v>
      </c>
      <c r="K140" s="10">
        <f>YEAR(Table2[[#This Row],[Order Date]])</f>
        <v>2025</v>
      </c>
      <c r="L140">
        <f>MONTH(Table2[[#This Row],[Order Date]])</f>
        <v>4</v>
      </c>
      <c r="M140">
        <f>WEEKDAY(Table2[[#This Row],[Order Date]])</f>
        <v>4</v>
      </c>
      <c r="N140" s="5">
        <f>VLOOKUP(Table2[[#This Row],[Product]], Product_Lookup!$A$2:$B$26, 2, FALSE)</f>
        <v>130.07</v>
      </c>
      <c r="O140" s="5">
        <f>Table2[[#This Row],[Product Cost(VL)]]*Table2[[#This Row],[Quantity]]</f>
        <v>1820.98</v>
      </c>
      <c r="P140" s="5">
        <f>Table2[[#This Row],[Sales Amount]]-Table2[[#This Row],[ PRODUCT COST]]</f>
        <v>3639.2999999999997</v>
      </c>
    </row>
    <row r="141" spans="1:16" x14ac:dyDescent="0.25">
      <c r="A141" t="s">
        <v>240</v>
      </c>
      <c r="B141" s="3">
        <v>45757</v>
      </c>
      <c r="C141" t="s">
        <v>602</v>
      </c>
      <c r="D141" t="s">
        <v>23</v>
      </c>
      <c r="E141" t="s">
        <v>28</v>
      </c>
      <c r="F141" t="s">
        <v>37</v>
      </c>
      <c r="G141" t="s">
        <v>61</v>
      </c>
      <c r="H141" s="4">
        <v>13</v>
      </c>
      <c r="I141" s="5">
        <v>412.17</v>
      </c>
      <c r="J141" s="5">
        <f t="shared" si="2"/>
        <v>5358.21</v>
      </c>
      <c r="K141" s="10">
        <f>YEAR(Table2[[#This Row],[Order Date]])</f>
        <v>2025</v>
      </c>
      <c r="L141">
        <f>MONTH(Table2[[#This Row],[Order Date]])</f>
        <v>4</v>
      </c>
      <c r="M141">
        <f>WEEKDAY(Table2[[#This Row],[Order Date]])</f>
        <v>5</v>
      </c>
      <c r="N141" s="5">
        <f>VLOOKUP(Table2[[#This Row],[Product]], Product_Lookup!$A$2:$B$26, 2, FALSE)</f>
        <v>101.96</v>
      </c>
      <c r="O141" s="5">
        <f>Table2[[#This Row],[Product Cost(VL)]]*Table2[[#This Row],[Quantity]]</f>
        <v>1325.48</v>
      </c>
      <c r="P141" s="5">
        <f>Table2[[#This Row],[Sales Amount]]-Table2[[#This Row],[ PRODUCT COST]]</f>
        <v>4032.73</v>
      </c>
    </row>
    <row r="142" spans="1:16" x14ac:dyDescent="0.25">
      <c r="A142" t="s">
        <v>241</v>
      </c>
      <c r="B142" s="3">
        <v>45758</v>
      </c>
      <c r="C142" t="s">
        <v>603</v>
      </c>
      <c r="D142" t="s">
        <v>23</v>
      </c>
      <c r="E142" t="s">
        <v>13</v>
      </c>
      <c r="F142" t="s">
        <v>29</v>
      </c>
      <c r="G142" t="s">
        <v>76</v>
      </c>
      <c r="H142" s="4">
        <v>6</v>
      </c>
      <c r="I142" s="5">
        <v>436.15</v>
      </c>
      <c r="J142" s="5">
        <f t="shared" si="2"/>
        <v>2616.8999999999996</v>
      </c>
      <c r="K142" s="10">
        <f>YEAR(Table2[[#This Row],[Order Date]])</f>
        <v>2025</v>
      </c>
      <c r="L142">
        <f>MONTH(Table2[[#This Row],[Order Date]])</f>
        <v>4</v>
      </c>
      <c r="M142">
        <f>WEEKDAY(Table2[[#This Row],[Order Date]])</f>
        <v>6</v>
      </c>
      <c r="N142" s="5">
        <f>VLOOKUP(Table2[[#This Row],[Product]], Product_Lookup!$A$2:$B$26, 2, FALSE)</f>
        <v>201.32</v>
      </c>
      <c r="O142" s="5">
        <f>Table2[[#This Row],[Product Cost(VL)]]*Table2[[#This Row],[Quantity]]</f>
        <v>1207.92</v>
      </c>
      <c r="P142" s="5">
        <f>Table2[[#This Row],[Sales Amount]]-Table2[[#This Row],[ PRODUCT COST]]</f>
        <v>1408.9799999999996</v>
      </c>
    </row>
    <row r="143" spans="1:16" x14ac:dyDescent="0.25">
      <c r="A143" t="s">
        <v>243</v>
      </c>
      <c r="B143" s="3">
        <v>45759</v>
      </c>
      <c r="C143" t="s">
        <v>604</v>
      </c>
      <c r="D143" t="s">
        <v>23</v>
      </c>
      <c r="E143" t="s">
        <v>669</v>
      </c>
      <c r="F143" t="s">
        <v>37</v>
      </c>
      <c r="G143" t="s">
        <v>38</v>
      </c>
      <c r="H143" s="4">
        <v>3</v>
      </c>
      <c r="I143" s="5">
        <v>210.89</v>
      </c>
      <c r="J143" s="5">
        <f t="shared" si="2"/>
        <v>632.66999999999996</v>
      </c>
      <c r="K143" s="10">
        <f>YEAR(Table2[[#This Row],[Order Date]])</f>
        <v>2025</v>
      </c>
      <c r="L143">
        <f>MONTH(Table2[[#This Row],[Order Date]])</f>
        <v>4</v>
      </c>
      <c r="M143">
        <f>WEEKDAY(Table2[[#This Row],[Order Date]])</f>
        <v>7</v>
      </c>
      <c r="N143" s="5">
        <f>VLOOKUP(Table2[[#This Row],[Product]], Product_Lookup!$A$2:$B$26, 2, FALSE)</f>
        <v>64.61</v>
      </c>
      <c r="O143" s="5">
        <f>Table2[[#This Row],[Product Cost(VL)]]*Table2[[#This Row],[Quantity]]</f>
        <v>193.82999999999998</v>
      </c>
      <c r="P143" s="5">
        <f>Table2[[#This Row],[Sales Amount]]-Table2[[#This Row],[ PRODUCT COST]]</f>
        <v>438.84</v>
      </c>
    </row>
    <row r="144" spans="1:16" x14ac:dyDescent="0.25">
      <c r="A144" t="s">
        <v>244</v>
      </c>
      <c r="B144" s="3">
        <v>45760</v>
      </c>
      <c r="C144" t="s">
        <v>605</v>
      </c>
      <c r="D144" t="s">
        <v>18</v>
      </c>
      <c r="E144" t="s">
        <v>13</v>
      </c>
      <c r="F144" t="s">
        <v>37</v>
      </c>
      <c r="G144" t="s">
        <v>176</v>
      </c>
      <c r="H144" s="4">
        <v>10</v>
      </c>
      <c r="I144" s="5">
        <v>349.43</v>
      </c>
      <c r="J144" s="5">
        <f t="shared" si="2"/>
        <v>3494.3</v>
      </c>
      <c r="K144" s="10">
        <f>YEAR(Table2[[#This Row],[Order Date]])</f>
        <v>2025</v>
      </c>
      <c r="L144">
        <f>MONTH(Table2[[#This Row],[Order Date]])</f>
        <v>4</v>
      </c>
      <c r="M144">
        <f>WEEKDAY(Table2[[#This Row],[Order Date]])</f>
        <v>1</v>
      </c>
      <c r="N144" s="5">
        <f>VLOOKUP(Table2[[#This Row],[Product]], Product_Lookup!$A$2:$B$26, 2, FALSE)</f>
        <v>133.37</v>
      </c>
      <c r="O144" s="5">
        <f>Table2[[#This Row],[Product Cost(VL)]]*Table2[[#This Row],[Quantity]]</f>
        <v>1333.7</v>
      </c>
      <c r="P144" s="5">
        <f>Table2[[#This Row],[Sales Amount]]-Table2[[#This Row],[ PRODUCT COST]]</f>
        <v>2160.6000000000004</v>
      </c>
    </row>
    <row r="145" spans="1:16" x14ac:dyDescent="0.25">
      <c r="A145" t="s">
        <v>245</v>
      </c>
      <c r="B145" s="3">
        <v>45761</v>
      </c>
      <c r="C145" t="s">
        <v>606</v>
      </c>
      <c r="D145" t="s">
        <v>18</v>
      </c>
      <c r="E145" t="s">
        <v>43</v>
      </c>
      <c r="F145" t="s">
        <v>24</v>
      </c>
      <c r="G145" t="s">
        <v>86</v>
      </c>
      <c r="H145" s="4">
        <v>11</v>
      </c>
      <c r="I145" s="5">
        <v>362.17</v>
      </c>
      <c r="J145" s="5">
        <f t="shared" si="2"/>
        <v>3983.8700000000003</v>
      </c>
      <c r="K145" s="10">
        <f>YEAR(Table2[[#This Row],[Order Date]])</f>
        <v>2025</v>
      </c>
      <c r="L145">
        <f>MONTH(Table2[[#This Row],[Order Date]])</f>
        <v>4</v>
      </c>
      <c r="M145">
        <f>WEEKDAY(Table2[[#This Row],[Order Date]])</f>
        <v>2</v>
      </c>
      <c r="N145" s="5">
        <f>VLOOKUP(Table2[[#This Row],[Product]], Product_Lookup!$A$2:$B$26, 2, FALSE)</f>
        <v>130.07</v>
      </c>
      <c r="O145" s="5">
        <f>Table2[[#This Row],[Product Cost(VL)]]*Table2[[#This Row],[Quantity]]</f>
        <v>1430.77</v>
      </c>
      <c r="P145" s="5">
        <f>Table2[[#This Row],[Sales Amount]]-Table2[[#This Row],[ PRODUCT COST]]</f>
        <v>2553.1000000000004</v>
      </c>
    </row>
    <row r="146" spans="1:16" x14ac:dyDescent="0.25">
      <c r="A146" t="s">
        <v>246</v>
      </c>
      <c r="B146" s="3">
        <v>45762</v>
      </c>
      <c r="C146" t="s">
        <v>607</v>
      </c>
      <c r="D146" t="s">
        <v>12</v>
      </c>
      <c r="E146" t="s">
        <v>669</v>
      </c>
      <c r="F146" t="s">
        <v>247</v>
      </c>
      <c r="G146" t="s">
        <v>20</v>
      </c>
      <c r="H146" s="4">
        <v>4</v>
      </c>
      <c r="I146" s="5">
        <v>319.27</v>
      </c>
      <c r="J146" s="5">
        <f t="shared" si="2"/>
        <v>1277.08</v>
      </c>
      <c r="K146" s="10">
        <f>YEAR(Table2[[#This Row],[Order Date]])</f>
        <v>2025</v>
      </c>
      <c r="L146">
        <f>MONTH(Table2[[#This Row],[Order Date]])</f>
        <v>4</v>
      </c>
      <c r="M146">
        <f>WEEKDAY(Table2[[#This Row],[Order Date]])</f>
        <v>3</v>
      </c>
      <c r="N146" s="5">
        <f>VLOOKUP(Table2[[#This Row],[Product]], Product_Lookup!$A$2:$B$26, 2, FALSE)</f>
        <v>178.83</v>
      </c>
      <c r="O146" s="5">
        <f>Table2[[#This Row],[Product Cost(VL)]]*Table2[[#This Row],[Quantity]]</f>
        <v>715.32</v>
      </c>
      <c r="P146" s="5">
        <f>Table2[[#This Row],[Sales Amount]]-Table2[[#This Row],[ PRODUCT COST]]</f>
        <v>561.75999999999988</v>
      </c>
    </row>
    <row r="147" spans="1:16" x14ac:dyDescent="0.25">
      <c r="A147" t="s">
        <v>248</v>
      </c>
      <c r="B147" s="3">
        <v>45763</v>
      </c>
      <c r="C147" t="s">
        <v>608</v>
      </c>
      <c r="D147" t="s">
        <v>23</v>
      </c>
      <c r="E147" t="s">
        <v>13</v>
      </c>
      <c r="F147" t="s">
        <v>37</v>
      </c>
      <c r="G147" t="s">
        <v>38</v>
      </c>
      <c r="H147" s="4">
        <v>12</v>
      </c>
      <c r="I147" s="5">
        <v>437.56</v>
      </c>
      <c r="J147" s="5">
        <f t="shared" si="2"/>
        <v>5250.72</v>
      </c>
      <c r="K147" s="10">
        <f>YEAR(Table2[[#This Row],[Order Date]])</f>
        <v>2025</v>
      </c>
      <c r="L147">
        <f>MONTH(Table2[[#This Row],[Order Date]])</f>
        <v>4</v>
      </c>
      <c r="M147">
        <f>WEEKDAY(Table2[[#This Row],[Order Date]])</f>
        <v>4</v>
      </c>
      <c r="N147" s="5">
        <f>VLOOKUP(Table2[[#This Row],[Product]], Product_Lookup!$A$2:$B$26, 2, FALSE)</f>
        <v>64.61</v>
      </c>
      <c r="O147" s="5">
        <f>Table2[[#This Row],[Product Cost(VL)]]*Table2[[#This Row],[Quantity]]</f>
        <v>775.31999999999994</v>
      </c>
      <c r="P147" s="5">
        <f>Table2[[#This Row],[Sales Amount]]-Table2[[#This Row],[ PRODUCT COST]]</f>
        <v>4475.4000000000005</v>
      </c>
    </row>
    <row r="148" spans="1:16" x14ac:dyDescent="0.25">
      <c r="A148" t="s">
        <v>249</v>
      </c>
      <c r="B148" s="3">
        <v>45764</v>
      </c>
      <c r="C148" t="s">
        <v>609</v>
      </c>
      <c r="D148" t="s">
        <v>18</v>
      </c>
      <c r="E148" t="s">
        <v>43</v>
      </c>
      <c r="F148" t="s">
        <v>14</v>
      </c>
      <c r="G148" t="s">
        <v>98</v>
      </c>
      <c r="H148" s="4">
        <v>13</v>
      </c>
      <c r="I148" s="5">
        <v>37.5</v>
      </c>
      <c r="J148" s="5">
        <f t="shared" si="2"/>
        <v>487.5</v>
      </c>
      <c r="K148" s="10">
        <f>YEAR(Table2[[#This Row],[Order Date]])</f>
        <v>2025</v>
      </c>
      <c r="L148">
        <f>MONTH(Table2[[#This Row],[Order Date]])</f>
        <v>4</v>
      </c>
      <c r="M148">
        <f>WEEKDAY(Table2[[#This Row],[Order Date]])</f>
        <v>5</v>
      </c>
      <c r="N148" s="5">
        <f>VLOOKUP(Table2[[#This Row],[Product]], Product_Lookup!$A$2:$B$26, 2, FALSE)</f>
        <v>230.68</v>
      </c>
      <c r="O148" s="5">
        <f>Table2[[#This Row],[Product Cost(VL)]]*Table2[[#This Row],[Quantity]]</f>
        <v>2998.84</v>
      </c>
      <c r="P148" s="5">
        <f>Table2[[#This Row],[Sales Amount]]-Table2[[#This Row],[ PRODUCT COST]]</f>
        <v>-2511.34</v>
      </c>
    </row>
    <row r="149" spans="1:16" x14ac:dyDescent="0.25">
      <c r="A149" t="s">
        <v>250</v>
      </c>
      <c r="B149" s="3">
        <v>45765</v>
      </c>
      <c r="C149" t="s">
        <v>610</v>
      </c>
      <c r="D149" t="s">
        <v>23</v>
      </c>
      <c r="E149" t="s">
        <v>28</v>
      </c>
      <c r="F149" t="s">
        <v>29</v>
      </c>
      <c r="G149" t="s">
        <v>68</v>
      </c>
      <c r="H149" s="4">
        <v>7</v>
      </c>
      <c r="I149" s="5">
        <v>287.3</v>
      </c>
      <c r="J149" s="5">
        <f t="shared" si="2"/>
        <v>2011.1000000000001</v>
      </c>
      <c r="K149" s="10">
        <f>YEAR(Table2[[#This Row],[Order Date]])</f>
        <v>2025</v>
      </c>
      <c r="L149">
        <f>MONTH(Table2[[#This Row],[Order Date]])</f>
        <v>4</v>
      </c>
      <c r="M149">
        <f>WEEKDAY(Table2[[#This Row],[Order Date]])</f>
        <v>6</v>
      </c>
      <c r="N149" s="5">
        <f>VLOOKUP(Table2[[#This Row],[Product]], Product_Lookup!$A$2:$B$26, 2, FALSE)</f>
        <v>33.22</v>
      </c>
      <c r="O149" s="5">
        <f>Table2[[#This Row],[Product Cost(VL)]]*Table2[[#This Row],[Quantity]]</f>
        <v>232.54</v>
      </c>
      <c r="P149" s="5">
        <f>Table2[[#This Row],[Sales Amount]]-Table2[[#This Row],[ PRODUCT COST]]</f>
        <v>1778.5600000000002</v>
      </c>
    </row>
    <row r="150" spans="1:16" x14ac:dyDescent="0.25">
      <c r="A150" t="s">
        <v>251</v>
      </c>
      <c r="B150" s="3">
        <v>45766</v>
      </c>
      <c r="C150" t="s">
        <v>611</v>
      </c>
      <c r="D150" t="s">
        <v>23</v>
      </c>
      <c r="E150" t="s">
        <v>58</v>
      </c>
      <c r="F150" t="s">
        <v>67</v>
      </c>
      <c r="G150" t="s">
        <v>47</v>
      </c>
      <c r="H150" s="4">
        <v>14</v>
      </c>
      <c r="I150" s="5">
        <v>197.45</v>
      </c>
      <c r="J150" s="5">
        <f t="shared" si="2"/>
        <v>2764.2999999999997</v>
      </c>
      <c r="K150" s="10">
        <f>YEAR(Table2[[#This Row],[Order Date]])</f>
        <v>2025</v>
      </c>
      <c r="L150">
        <f>MONTH(Table2[[#This Row],[Order Date]])</f>
        <v>4</v>
      </c>
      <c r="M150">
        <f>WEEKDAY(Table2[[#This Row],[Order Date]])</f>
        <v>7</v>
      </c>
      <c r="N150" s="5">
        <f>VLOOKUP(Table2[[#This Row],[Product]], Product_Lookup!$A$2:$B$26, 2, FALSE)</f>
        <v>107.34</v>
      </c>
      <c r="O150" s="5">
        <f>Table2[[#This Row],[Product Cost(VL)]]*Table2[[#This Row],[Quantity]]</f>
        <v>1502.76</v>
      </c>
      <c r="P150" s="5">
        <f>Table2[[#This Row],[Sales Amount]]-Table2[[#This Row],[ PRODUCT COST]]</f>
        <v>1261.5399999999997</v>
      </c>
    </row>
    <row r="151" spans="1:16" x14ac:dyDescent="0.25">
      <c r="A151" t="s">
        <v>252</v>
      </c>
      <c r="B151" s="3">
        <v>45767</v>
      </c>
      <c r="C151" t="s">
        <v>612</v>
      </c>
      <c r="D151" t="s">
        <v>12</v>
      </c>
      <c r="E151" t="s">
        <v>28</v>
      </c>
      <c r="F151" t="s">
        <v>24</v>
      </c>
      <c r="G151" t="s">
        <v>44</v>
      </c>
      <c r="H151" s="4">
        <v>8</v>
      </c>
      <c r="I151" s="5">
        <v>322.57</v>
      </c>
      <c r="J151" s="5">
        <f t="shared" si="2"/>
        <v>2580.56</v>
      </c>
      <c r="K151" s="10">
        <f>YEAR(Table2[[#This Row],[Order Date]])</f>
        <v>2025</v>
      </c>
      <c r="L151">
        <f>MONTH(Table2[[#This Row],[Order Date]])</f>
        <v>4</v>
      </c>
      <c r="M151">
        <f>WEEKDAY(Table2[[#This Row],[Order Date]])</f>
        <v>1</v>
      </c>
      <c r="N151" s="5">
        <f>VLOOKUP(Table2[[#This Row],[Product]], Product_Lookup!$A$2:$B$26, 2, FALSE)</f>
        <v>86.6</v>
      </c>
      <c r="O151" s="5">
        <f>Table2[[#This Row],[Product Cost(VL)]]*Table2[[#This Row],[Quantity]]</f>
        <v>692.8</v>
      </c>
      <c r="P151" s="5">
        <f>Table2[[#This Row],[Sales Amount]]-Table2[[#This Row],[ PRODUCT COST]]</f>
        <v>1887.76</v>
      </c>
    </row>
    <row r="152" spans="1:16" x14ac:dyDescent="0.25">
      <c r="A152" t="s">
        <v>253</v>
      </c>
      <c r="B152" s="3">
        <v>45768</v>
      </c>
      <c r="C152" t="s">
        <v>613</v>
      </c>
      <c r="D152" t="s">
        <v>23</v>
      </c>
      <c r="E152" t="s">
        <v>13</v>
      </c>
      <c r="F152" t="s">
        <v>37</v>
      </c>
      <c r="G152" t="s">
        <v>176</v>
      </c>
      <c r="H152" s="4">
        <v>9</v>
      </c>
      <c r="I152" s="5">
        <v>87.41</v>
      </c>
      <c r="J152" s="5">
        <f t="shared" si="2"/>
        <v>786.68999999999994</v>
      </c>
      <c r="K152" s="10">
        <f>YEAR(Table2[[#This Row],[Order Date]])</f>
        <v>2025</v>
      </c>
      <c r="L152">
        <f>MONTH(Table2[[#This Row],[Order Date]])</f>
        <v>4</v>
      </c>
      <c r="M152">
        <f>WEEKDAY(Table2[[#This Row],[Order Date]])</f>
        <v>2</v>
      </c>
      <c r="N152" s="5">
        <f>VLOOKUP(Table2[[#This Row],[Product]], Product_Lookup!$A$2:$B$26, 2, FALSE)</f>
        <v>133.37</v>
      </c>
      <c r="O152" s="5">
        <f>Table2[[#This Row],[Product Cost(VL)]]*Table2[[#This Row],[Quantity]]</f>
        <v>1200.33</v>
      </c>
      <c r="P152" s="5">
        <f>Table2[[#This Row],[Sales Amount]]-Table2[[#This Row],[ PRODUCT COST]]</f>
        <v>-413.64</v>
      </c>
    </row>
    <row r="153" spans="1:16" x14ac:dyDescent="0.25">
      <c r="A153" t="s">
        <v>254</v>
      </c>
      <c r="B153" s="3">
        <v>45769</v>
      </c>
      <c r="C153" t="s">
        <v>614</v>
      </c>
      <c r="D153" t="s">
        <v>23</v>
      </c>
      <c r="E153" t="s">
        <v>669</v>
      </c>
      <c r="F153" t="s">
        <v>33</v>
      </c>
      <c r="G153" t="s">
        <v>89</v>
      </c>
      <c r="H153" s="4">
        <v>5</v>
      </c>
      <c r="I153" s="5">
        <v>233.85</v>
      </c>
      <c r="J153" s="5">
        <f t="shared" si="2"/>
        <v>1169.25</v>
      </c>
      <c r="K153" s="10">
        <f>YEAR(Table2[[#This Row],[Order Date]])</f>
        <v>2025</v>
      </c>
      <c r="L153">
        <f>MONTH(Table2[[#This Row],[Order Date]])</f>
        <v>4</v>
      </c>
      <c r="M153">
        <f>WEEKDAY(Table2[[#This Row],[Order Date]])</f>
        <v>3</v>
      </c>
      <c r="N153" s="5">
        <f>VLOOKUP(Table2[[#This Row],[Product]], Product_Lookup!$A$2:$B$26, 2, FALSE)</f>
        <v>26.59</v>
      </c>
      <c r="O153" s="5">
        <f>Table2[[#This Row],[Product Cost(VL)]]*Table2[[#This Row],[Quantity]]</f>
        <v>132.94999999999999</v>
      </c>
      <c r="P153" s="5">
        <f>Table2[[#This Row],[Sales Amount]]-Table2[[#This Row],[ PRODUCT COST]]</f>
        <v>1036.3</v>
      </c>
    </row>
    <row r="154" spans="1:16" x14ac:dyDescent="0.25">
      <c r="A154" t="s">
        <v>255</v>
      </c>
      <c r="B154" s="3">
        <v>45770</v>
      </c>
      <c r="C154" t="s">
        <v>615</v>
      </c>
      <c r="D154" t="s">
        <v>12</v>
      </c>
      <c r="E154" t="s">
        <v>28</v>
      </c>
      <c r="F154" t="s">
        <v>37</v>
      </c>
      <c r="G154" t="s">
        <v>38</v>
      </c>
      <c r="H154" s="4">
        <v>7</v>
      </c>
      <c r="I154" s="5">
        <v>290.24</v>
      </c>
      <c r="J154" s="5">
        <f t="shared" si="2"/>
        <v>2031.68</v>
      </c>
      <c r="K154" s="10">
        <f>YEAR(Table2[[#This Row],[Order Date]])</f>
        <v>2025</v>
      </c>
      <c r="L154">
        <f>MONTH(Table2[[#This Row],[Order Date]])</f>
        <v>4</v>
      </c>
      <c r="M154">
        <f>WEEKDAY(Table2[[#This Row],[Order Date]])</f>
        <v>4</v>
      </c>
      <c r="N154" s="5">
        <f>VLOOKUP(Table2[[#This Row],[Product]], Product_Lookup!$A$2:$B$26, 2, FALSE)</f>
        <v>64.61</v>
      </c>
      <c r="O154" s="5">
        <f>Table2[[#This Row],[Product Cost(VL)]]*Table2[[#This Row],[Quantity]]</f>
        <v>452.27</v>
      </c>
      <c r="P154" s="5">
        <f>Table2[[#This Row],[Sales Amount]]-Table2[[#This Row],[ PRODUCT COST]]</f>
        <v>1579.41</v>
      </c>
    </row>
    <row r="155" spans="1:16" x14ac:dyDescent="0.25">
      <c r="A155" t="s">
        <v>256</v>
      </c>
      <c r="B155" s="3">
        <v>45771</v>
      </c>
      <c r="C155" t="s">
        <v>616</v>
      </c>
      <c r="D155" t="s">
        <v>18</v>
      </c>
      <c r="E155" t="s">
        <v>43</v>
      </c>
      <c r="F155" t="s">
        <v>247</v>
      </c>
      <c r="G155" t="s">
        <v>104</v>
      </c>
      <c r="H155" s="4">
        <v>1</v>
      </c>
      <c r="I155" s="5">
        <v>287.31</v>
      </c>
      <c r="J155" s="5">
        <f t="shared" si="2"/>
        <v>287.31</v>
      </c>
      <c r="K155" s="10">
        <f>YEAR(Table2[[#This Row],[Order Date]])</f>
        <v>2025</v>
      </c>
      <c r="L155">
        <f>MONTH(Table2[[#This Row],[Order Date]])</f>
        <v>4</v>
      </c>
      <c r="M155">
        <f>WEEKDAY(Table2[[#This Row],[Order Date]])</f>
        <v>5</v>
      </c>
      <c r="N155" s="5">
        <f>VLOOKUP(Table2[[#This Row],[Product]], Product_Lookup!$A$2:$B$26, 2, FALSE)</f>
        <v>145.47999999999999</v>
      </c>
      <c r="O155" s="5">
        <f>Table2[[#This Row],[Product Cost(VL)]]*Table2[[#This Row],[Quantity]]</f>
        <v>145.47999999999999</v>
      </c>
      <c r="P155" s="5">
        <f>Table2[[#This Row],[Sales Amount]]-Table2[[#This Row],[ PRODUCT COST]]</f>
        <v>141.83000000000001</v>
      </c>
    </row>
    <row r="156" spans="1:16" x14ac:dyDescent="0.25">
      <c r="A156" t="s">
        <v>257</v>
      </c>
      <c r="B156" s="3">
        <v>45772</v>
      </c>
      <c r="C156" t="s">
        <v>617</v>
      </c>
      <c r="D156" t="s">
        <v>12</v>
      </c>
      <c r="E156" t="s">
        <v>669</v>
      </c>
      <c r="F156" t="s">
        <v>37</v>
      </c>
      <c r="G156" t="s">
        <v>176</v>
      </c>
      <c r="H156" s="4">
        <v>10</v>
      </c>
      <c r="I156" s="5">
        <v>402.95</v>
      </c>
      <c r="J156" s="5">
        <f t="shared" si="2"/>
        <v>4029.5</v>
      </c>
      <c r="K156" s="10">
        <f>YEAR(Table2[[#This Row],[Order Date]])</f>
        <v>2025</v>
      </c>
      <c r="L156">
        <f>MONTH(Table2[[#This Row],[Order Date]])</f>
        <v>4</v>
      </c>
      <c r="M156">
        <f>WEEKDAY(Table2[[#This Row],[Order Date]])</f>
        <v>6</v>
      </c>
      <c r="N156" s="5">
        <f>VLOOKUP(Table2[[#This Row],[Product]], Product_Lookup!$A$2:$B$26, 2, FALSE)</f>
        <v>133.37</v>
      </c>
      <c r="O156" s="5">
        <f>Table2[[#This Row],[Product Cost(VL)]]*Table2[[#This Row],[Quantity]]</f>
        <v>1333.7</v>
      </c>
      <c r="P156" s="5">
        <f>Table2[[#This Row],[Sales Amount]]-Table2[[#This Row],[ PRODUCT COST]]</f>
        <v>2695.8</v>
      </c>
    </row>
    <row r="157" spans="1:16" x14ac:dyDescent="0.25">
      <c r="A157" t="s">
        <v>258</v>
      </c>
      <c r="B157" s="3">
        <v>45773</v>
      </c>
      <c r="C157" t="s">
        <v>618</v>
      </c>
      <c r="D157" t="s">
        <v>23</v>
      </c>
      <c r="E157" t="s">
        <v>58</v>
      </c>
      <c r="F157" t="s">
        <v>24</v>
      </c>
      <c r="G157" t="s">
        <v>64</v>
      </c>
      <c r="H157" s="4">
        <v>13</v>
      </c>
      <c r="I157" s="5">
        <v>363.25</v>
      </c>
      <c r="J157" s="5">
        <f t="shared" si="2"/>
        <v>4722.25</v>
      </c>
      <c r="K157" s="10">
        <f>YEAR(Table2[[#This Row],[Order Date]])</f>
        <v>2025</v>
      </c>
      <c r="L157">
        <f>MONTH(Table2[[#This Row],[Order Date]])</f>
        <v>4</v>
      </c>
      <c r="M157">
        <f>WEEKDAY(Table2[[#This Row],[Order Date]])</f>
        <v>7</v>
      </c>
      <c r="N157" s="5">
        <f>VLOOKUP(Table2[[#This Row],[Product]], Product_Lookup!$A$2:$B$26, 2, FALSE)</f>
        <v>46.19</v>
      </c>
      <c r="O157" s="5">
        <f>Table2[[#This Row],[Product Cost(VL)]]*Table2[[#This Row],[Quantity]]</f>
        <v>600.47</v>
      </c>
      <c r="P157" s="5">
        <f>Table2[[#This Row],[Sales Amount]]-Table2[[#This Row],[ PRODUCT COST]]</f>
        <v>4121.78</v>
      </c>
    </row>
    <row r="158" spans="1:16" x14ac:dyDescent="0.25">
      <c r="A158" t="s">
        <v>259</v>
      </c>
      <c r="B158" s="3">
        <v>45774</v>
      </c>
      <c r="C158" t="s">
        <v>619</v>
      </c>
      <c r="D158" t="s">
        <v>18</v>
      </c>
      <c r="E158" t="s">
        <v>58</v>
      </c>
      <c r="F158" t="s">
        <v>14</v>
      </c>
      <c r="G158" t="s">
        <v>98</v>
      </c>
      <c r="H158" s="4">
        <v>13</v>
      </c>
      <c r="I158" s="5">
        <v>226</v>
      </c>
      <c r="J158" s="5">
        <f t="shared" si="2"/>
        <v>2938</v>
      </c>
      <c r="K158" s="10">
        <f>YEAR(Table2[[#This Row],[Order Date]])</f>
        <v>2025</v>
      </c>
      <c r="L158">
        <f>MONTH(Table2[[#This Row],[Order Date]])</f>
        <v>4</v>
      </c>
      <c r="M158">
        <f>WEEKDAY(Table2[[#This Row],[Order Date]])</f>
        <v>1</v>
      </c>
      <c r="N158" s="5">
        <f>VLOOKUP(Table2[[#This Row],[Product]], Product_Lookup!$A$2:$B$26, 2, FALSE)</f>
        <v>230.68</v>
      </c>
      <c r="O158" s="5">
        <f>Table2[[#This Row],[Product Cost(VL)]]*Table2[[#This Row],[Quantity]]</f>
        <v>2998.84</v>
      </c>
      <c r="P158" s="5">
        <f>Table2[[#This Row],[Sales Amount]]-Table2[[#This Row],[ PRODUCT COST]]</f>
        <v>-60.840000000000146</v>
      </c>
    </row>
    <row r="159" spans="1:16" x14ac:dyDescent="0.25">
      <c r="A159" t="s">
        <v>260</v>
      </c>
      <c r="B159" s="3">
        <v>45775</v>
      </c>
      <c r="C159" t="s">
        <v>620</v>
      </c>
      <c r="D159" t="s">
        <v>18</v>
      </c>
      <c r="E159" t="s">
        <v>58</v>
      </c>
      <c r="F159" t="s">
        <v>14</v>
      </c>
      <c r="G159" t="s">
        <v>15</v>
      </c>
      <c r="H159" s="4">
        <v>12</v>
      </c>
      <c r="I159" s="5">
        <v>213.6</v>
      </c>
      <c r="J159" s="5">
        <f t="shared" si="2"/>
        <v>2563.1999999999998</v>
      </c>
      <c r="K159" s="10">
        <f>YEAR(Table2[[#This Row],[Order Date]])</f>
        <v>2025</v>
      </c>
      <c r="L159">
        <f>MONTH(Table2[[#This Row],[Order Date]])</f>
        <v>4</v>
      </c>
      <c r="M159">
        <f>WEEKDAY(Table2[[#This Row],[Order Date]])</f>
        <v>2</v>
      </c>
      <c r="N159" s="5">
        <f>VLOOKUP(Table2[[#This Row],[Product]], Product_Lookup!$A$2:$B$26, 2, FALSE)</f>
        <v>146.06</v>
      </c>
      <c r="O159" s="5">
        <f>Table2[[#This Row],[Product Cost(VL)]]*Table2[[#This Row],[Quantity]]</f>
        <v>1752.72</v>
      </c>
      <c r="P159" s="5">
        <f>Table2[[#This Row],[Sales Amount]]-Table2[[#This Row],[ PRODUCT COST]]</f>
        <v>810.47999999999979</v>
      </c>
    </row>
    <row r="160" spans="1:16" x14ac:dyDescent="0.25">
      <c r="A160" t="s">
        <v>261</v>
      </c>
      <c r="B160" s="3">
        <v>45776</v>
      </c>
      <c r="C160" t="s">
        <v>621</v>
      </c>
      <c r="D160" t="s">
        <v>23</v>
      </c>
      <c r="E160" t="s">
        <v>669</v>
      </c>
      <c r="F160" t="s">
        <v>33</v>
      </c>
      <c r="G160" t="s">
        <v>72</v>
      </c>
      <c r="H160" s="4">
        <v>15</v>
      </c>
      <c r="I160" s="5">
        <v>143.54</v>
      </c>
      <c r="J160" s="5">
        <f t="shared" si="2"/>
        <v>2153.1</v>
      </c>
      <c r="K160" s="10">
        <f>YEAR(Table2[[#This Row],[Order Date]])</f>
        <v>2025</v>
      </c>
      <c r="L160">
        <f>MONTH(Table2[[#This Row],[Order Date]])</f>
        <v>4</v>
      </c>
      <c r="M160">
        <f>WEEKDAY(Table2[[#This Row],[Order Date]])</f>
        <v>3</v>
      </c>
      <c r="N160" s="5">
        <f>VLOOKUP(Table2[[#This Row],[Product]], Product_Lookup!$A$2:$B$26, 2, FALSE)</f>
        <v>211.9</v>
      </c>
      <c r="O160" s="5">
        <f>Table2[[#This Row],[Product Cost(VL)]]*Table2[[#This Row],[Quantity]]</f>
        <v>3178.5</v>
      </c>
      <c r="P160" s="5">
        <f>Table2[[#This Row],[Sales Amount]]-Table2[[#This Row],[ PRODUCT COST]]</f>
        <v>-1025.4000000000001</v>
      </c>
    </row>
    <row r="161" spans="1:16" x14ac:dyDescent="0.25">
      <c r="A161" t="s">
        <v>262</v>
      </c>
      <c r="B161" s="3">
        <v>45777</v>
      </c>
      <c r="C161" t="s">
        <v>622</v>
      </c>
      <c r="D161" t="s">
        <v>12</v>
      </c>
      <c r="E161" t="s">
        <v>28</v>
      </c>
      <c r="F161" t="s">
        <v>33</v>
      </c>
      <c r="G161" t="s">
        <v>34</v>
      </c>
      <c r="H161" s="4">
        <v>8</v>
      </c>
      <c r="I161" s="5">
        <v>481.82</v>
      </c>
      <c r="J161" s="5">
        <f t="shared" si="2"/>
        <v>3854.56</v>
      </c>
      <c r="K161" s="10">
        <f>YEAR(Table2[[#This Row],[Order Date]])</f>
        <v>2025</v>
      </c>
      <c r="L161">
        <f>MONTH(Table2[[#This Row],[Order Date]])</f>
        <v>4</v>
      </c>
      <c r="M161">
        <f>WEEKDAY(Table2[[#This Row],[Order Date]])</f>
        <v>4</v>
      </c>
      <c r="N161" s="5">
        <f>VLOOKUP(Table2[[#This Row],[Product]], Product_Lookup!$A$2:$B$26, 2, FALSE)</f>
        <v>230.34</v>
      </c>
      <c r="O161" s="5">
        <f>Table2[[#This Row],[Product Cost(VL)]]*Table2[[#This Row],[Quantity]]</f>
        <v>1842.72</v>
      </c>
      <c r="P161" s="5">
        <f>Table2[[#This Row],[Sales Amount]]-Table2[[#This Row],[ PRODUCT COST]]</f>
        <v>2011.84</v>
      </c>
    </row>
    <row r="162" spans="1:16" x14ac:dyDescent="0.25">
      <c r="A162" t="s">
        <v>263</v>
      </c>
      <c r="B162" s="3">
        <v>45778</v>
      </c>
      <c r="C162" t="s">
        <v>623</v>
      </c>
      <c r="D162" t="s">
        <v>12</v>
      </c>
      <c r="E162" t="s">
        <v>28</v>
      </c>
      <c r="F162" t="s">
        <v>154</v>
      </c>
      <c r="G162" t="s">
        <v>64</v>
      </c>
      <c r="H162" s="4">
        <v>13</v>
      </c>
      <c r="I162" s="5">
        <v>203.34</v>
      </c>
      <c r="J162" s="5">
        <f t="shared" si="2"/>
        <v>2643.42</v>
      </c>
      <c r="K162" s="10">
        <f>YEAR(Table2[[#This Row],[Order Date]])</f>
        <v>2025</v>
      </c>
      <c r="L162">
        <f>MONTH(Table2[[#This Row],[Order Date]])</f>
        <v>5</v>
      </c>
      <c r="M162">
        <f>WEEKDAY(Table2[[#This Row],[Order Date]])</f>
        <v>5</v>
      </c>
      <c r="N162" s="5">
        <f>VLOOKUP(Table2[[#This Row],[Product]], Product_Lookup!$A$2:$B$26, 2, FALSE)</f>
        <v>46.19</v>
      </c>
      <c r="O162" s="5">
        <f>Table2[[#This Row],[Product Cost(VL)]]*Table2[[#This Row],[Quantity]]</f>
        <v>600.47</v>
      </c>
      <c r="P162" s="5">
        <f>Table2[[#This Row],[Sales Amount]]-Table2[[#This Row],[ PRODUCT COST]]</f>
        <v>2042.95</v>
      </c>
    </row>
    <row r="163" spans="1:16" x14ac:dyDescent="0.25">
      <c r="A163" t="s">
        <v>264</v>
      </c>
      <c r="B163" s="3">
        <v>45779</v>
      </c>
      <c r="C163" t="s">
        <v>624</v>
      </c>
      <c r="D163" t="s">
        <v>23</v>
      </c>
      <c r="E163" t="s">
        <v>13</v>
      </c>
      <c r="F163" t="s">
        <v>37</v>
      </c>
      <c r="G163" t="s">
        <v>176</v>
      </c>
      <c r="H163" s="4">
        <v>12</v>
      </c>
      <c r="I163" s="5">
        <v>339.45</v>
      </c>
      <c r="J163" s="5">
        <f t="shared" si="2"/>
        <v>4073.3999999999996</v>
      </c>
      <c r="K163" s="10">
        <f>YEAR(Table2[[#This Row],[Order Date]])</f>
        <v>2025</v>
      </c>
      <c r="L163">
        <f>MONTH(Table2[[#This Row],[Order Date]])</f>
        <v>5</v>
      </c>
      <c r="M163">
        <f>WEEKDAY(Table2[[#This Row],[Order Date]])</f>
        <v>6</v>
      </c>
      <c r="N163" s="5">
        <f>VLOOKUP(Table2[[#This Row],[Product]], Product_Lookup!$A$2:$B$26, 2, FALSE)</f>
        <v>133.37</v>
      </c>
      <c r="O163" s="5">
        <f>Table2[[#This Row],[Product Cost(VL)]]*Table2[[#This Row],[Quantity]]</f>
        <v>1600.44</v>
      </c>
      <c r="P163" s="5">
        <f>Table2[[#This Row],[Sales Amount]]-Table2[[#This Row],[ PRODUCT COST]]</f>
        <v>2472.9599999999996</v>
      </c>
    </row>
    <row r="164" spans="1:16" x14ac:dyDescent="0.25">
      <c r="A164" t="s">
        <v>265</v>
      </c>
      <c r="B164" s="3">
        <v>45780</v>
      </c>
      <c r="C164" t="s">
        <v>625</v>
      </c>
      <c r="D164" t="s">
        <v>18</v>
      </c>
      <c r="E164" t="s">
        <v>43</v>
      </c>
      <c r="F164" t="s">
        <v>14</v>
      </c>
      <c r="G164" t="s">
        <v>81</v>
      </c>
      <c r="H164" s="4">
        <v>1</v>
      </c>
      <c r="I164" s="5">
        <v>313.58</v>
      </c>
      <c r="J164" s="5">
        <f t="shared" si="2"/>
        <v>313.58</v>
      </c>
      <c r="K164" s="10">
        <f>YEAR(Table2[[#This Row],[Order Date]])</f>
        <v>2025</v>
      </c>
      <c r="L164">
        <f>MONTH(Table2[[#This Row],[Order Date]])</f>
        <v>5</v>
      </c>
      <c r="M164">
        <f>WEEKDAY(Table2[[#This Row],[Order Date]])</f>
        <v>7</v>
      </c>
      <c r="N164" s="5">
        <f>VLOOKUP(Table2[[#This Row],[Product]], Product_Lookup!$A$2:$B$26, 2, FALSE)</f>
        <v>216.22</v>
      </c>
      <c r="O164" s="5">
        <f>Table2[[#This Row],[Product Cost(VL)]]*Table2[[#This Row],[Quantity]]</f>
        <v>216.22</v>
      </c>
      <c r="P164" s="5">
        <f>Table2[[#This Row],[Sales Amount]]-Table2[[#This Row],[ PRODUCT COST]]</f>
        <v>97.359999999999985</v>
      </c>
    </row>
    <row r="165" spans="1:16" x14ac:dyDescent="0.25">
      <c r="A165" t="s">
        <v>266</v>
      </c>
      <c r="B165" s="3">
        <v>45781</v>
      </c>
      <c r="C165" t="s">
        <v>626</v>
      </c>
      <c r="D165" t="s">
        <v>23</v>
      </c>
      <c r="E165" t="s">
        <v>669</v>
      </c>
      <c r="F165" t="s">
        <v>67</v>
      </c>
      <c r="G165" t="s">
        <v>47</v>
      </c>
      <c r="H165" s="4">
        <v>14</v>
      </c>
      <c r="I165" s="5">
        <v>237.49</v>
      </c>
      <c r="J165" s="5">
        <f t="shared" si="2"/>
        <v>3324.86</v>
      </c>
      <c r="K165" s="10">
        <f>YEAR(Table2[[#This Row],[Order Date]])</f>
        <v>2025</v>
      </c>
      <c r="L165">
        <f>MONTH(Table2[[#This Row],[Order Date]])</f>
        <v>5</v>
      </c>
      <c r="M165">
        <f>WEEKDAY(Table2[[#This Row],[Order Date]])</f>
        <v>1</v>
      </c>
      <c r="N165" s="5">
        <f>VLOOKUP(Table2[[#This Row],[Product]], Product_Lookup!$A$2:$B$26, 2, FALSE)</f>
        <v>107.34</v>
      </c>
      <c r="O165" s="5">
        <f>Table2[[#This Row],[Product Cost(VL)]]*Table2[[#This Row],[Quantity]]</f>
        <v>1502.76</v>
      </c>
      <c r="P165" s="5">
        <f>Table2[[#This Row],[Sales Amount]]-Table2[[#This Row],[ PRODUCT COST]]</f>
        <v>1822.1000000000001</v>
      </c>
    </row>
    <row r="166" spans="1:16" x14ac:dyDescent="0.25">
      <c r="A166" t="s">
        <v>267</v>
      </c>
      <c r="B166" s="3">
        <v>45782</v>
      </c>
      <c r="C166" t="s">
        <v>627</v>
      </c>
      <c r="D166" t="s">
        <v>12</v>
      </c>
      <c r="E166" t="s">
        <v>28</v>
      </c>
      <c r="F166" t="s">
        <v>14</v>
      </c>
      <c r="G166" t="s">
        <v>81</v>
      </c>
      <c r="H166" s="4">
        <v>1</v>
      </c>
      <c r="I166" s="5">
        <v>159.13999999999999</v>
      </c>
      <c r="J166" s="5">
        <f t="shared" si="2"/>
        <v>159.13999999999999</v>
      </c>
      <c r="K166" s="10">
        <f>YEAR(Table2[[#This Row],[Order Date]])</f>
        <v>2025</v>
      </c>
      <c r="L166">
        <f>MONTH(Table2[[#This Row],[Order Date]])</f>
        <v>5</v>
      </c>
      <c r="M166">
        <f>WEEKDAY(Table2[[#This Row],[Order Date]])</f>
        <v>2</v>
      </c>
      <c r="N166" s="5">
        <f>VLOOKUP(Table2[[#This Row],[Product]], Product_Lookup!$A$2:$B$26, 2, FALSE)</f>
        <v>216.22</v>
      </c>
      <c r="O166" s="5">
        <f>Table2[[#This Row],[Product Cost(VL)]]*Table2[[#This Row],[Quantity]]</f>
        <v>216.22</v>
      </c>
      <c r="P166" s="5">
        <f>Table2[[#This Row],[Sales Amount]]-Table2[[#This Row],[ PRODUCT COST]]</f>
        <v>-57.080000000000013</v>
      </c>
    </row>
    <row r="167" spans="1:16" x14ac:dyDescent="0.25">
      <c r="A167" t="s">
        <v>268</v>
      </c>
      <c r="B167" s="3">
        <v>45783</v>
      </c>
      <c r="C167" t="s">
        <v>628</v>
      </c>
      <c r="D167" t="s">
        <v>12</v>
      </c>
      <c r="E167" t="s">
        <v>13</v>
      </c>
      <c r="F167" t="s">
        <v>67</v>
      </c>
      <c r="G167" t="s">
        <v>76</v>
      </c>
      <c r="H167" s="4">
        <v>7</v>
      </c>
      <c r="I167" s="5">
        <v>232.29</v>
      </c>
      <c r="J167" s="5">
        <f t="shared" si="2"/>
        <v>1626.03</v>
      </c>
      <c r="K167" s="10">
        <f>YEAR(Table2[[#This Row],[Order Date]])</f>
        <v>2025</v>
      </c>
      <c r="L167">
        <f>MONTH(Table2[[#This Row],[Order Date]])</f>
        <v>5</v>
      </c>
      <c r="M167">
        <f>WEEKDAY(Table2[[#This Row],[Order Date]])</f>
        <v>3</v>
      </c>
      <c r="N167" s="5">
        <f>VLOOKUP(Table2[[#This Row],[Product]], Product_Lookup!$A$2:$B$26, 2, FALSE)</f>
        <v>201.32</v>
      </c>
      <c r="O167" s="5">
        <f>Table2[[#This Row],[Product Cost(VL)]]*Table2[[#This Row],[Quantity]]</f>
        <v>1409.24</v>
      </c>
      <c r="P167" s="5">
        <f>Table2[[#This Row],[Sales Amount]]-Table2[[#This Row],[ PRODUCT COST]]</f>
        <v>216.78999999999996</v>
      </c>
    </row>
    <row r="168" spans="1:16" x14ac:dyDescent="0.25">
      <c r="A168" t="s">
        <v>269</v>
      </c>
      <c r="B168" s="3">
        <v>45784</v>
      </c>
      <c r="C168" t="s">
        <v>629</v>
      </c>
      <c r="D168" t="s">
        <v>23</v>
      </c>
      <c r="E168" t="s">
        <v>669</v>
      </c>
      <c r="F168" t="s">
        <v>37</v>
      </c>
      <c r="G168" t="s">
        <v>111</v>
      </c>
      <c r="H168" s="4">
        <v>12</v>
      </c>
      <c r="I168" s="5">
        <v>85.72</v>
      </c>
      <c r="J168" s="5">
        <f t="shared" si="2"/>
        <v>1028.6399999999999</v>
      </c>
      <c r="K168" s="10">
        <f>YEAR(Table2[[#This Row],[Order Date]])</f>
        <v>2025</v>
      </c>
      <c r="L168">
        <f>MONTH(Table2[[#This Row],[Order Date]])</f>
        <v>5</v>
      </c>
      <c r="M168">
        <f>WEEKDAY(Table2[[#This Row],[Order Date]])</f>
        <v>4</v>
      </c>
      <c r="N168" s="5">
        <f>VLOOKUP(Table2[[#This Row],[Product]], Product_Lookup!$A$2:$B$26, 2, FALSE)</f>
        <v>81.02</v>
      </c>
      <c r="O168" s="5">
        <f>Table2[[#This Row],[Product Cost(VL)]]*Table2[[#This Row],[Quantity]]</f>
        <v>972.24</v>
      </c>
      <c r="P168" s="5">
        <f>Table2[[#This Row],[Sales Amount]]-Table2[[#This Row],[ PRODUCT COST]]</f>
        <v>56.399999999999864</v>
      </c>
    </row>
    <row r="169" spans="1:16" x14ac:dyDescent="0.25">
      <c r="A169" t="s">
        <v>270</v>
      </c>
      <c r="B169" s="3">
        <v>45785</v>
      </c>
      <c r="C169" t="s">
        <v>630</v>
      </c>
      <c r="D169" t="s">
        <v>18</v>
      </c>
      <c r="E169" t="s">
        <v>13</v>
      </c>
      <c r="F169" t="s">
        <v>37</v>
      </c>
      <c r="G169" t="s">
        <v>111</v>
      </c>
      <c r="H169" s="4">
        <v>5</v>
      </c>
      <c r="I169" s="5">
        <v>26.03</v>
      </c>
      <c r="J169" s="5">
        <f t="shared" si="2"/>
        <v>130.15</v>
      </c>
      <c r="K169" s="10">
        <f>YEAR(Table2[[#This Row],[Order Date]])</f>
        <v>2025</v>
      </c>
      <c r="L169">
        <f>MONTH(Table2[[#This Row],[Order Date]])</f>
        <v>5</v>
      </c>
      <c r="M169">
        <f>WEEKDAY(Table2[[#This Row],[Order Date]])</f>
        <v>5</v>
      </c>
      <c r="N169" s="5">
        <f>VLOOKUP(Table2[[#This Row],[Product]], Product_Lookup!$A$2:$B$26, 2, FALSE)</f>
        <v>81.02</v>
      </c>
      <c r="O169" s="5">
        <f>Table2[[#This Row],[Product Cost(VL)]]*Table2[[#This Row],[Quantity]]</f>
        <v>405.09999999999997</v>
      </c>
      <c r="P169" s="5">
        <f>Table2[[#This Row],[Sales Amount]]-Table2[[#This Row],[ PRODUCT COST]]</f>
        <v>-274.94999999999993</v>
      </c>
    </row>
    <row r="170" spans="1:16" x14ac:dyDescent="0.25">
      <c r="A170" t="s">
        <v>271</v>
      </c>
      <c r="B170" s="3">
        <v>45786</v>
      </c>
      <c r="C170" t="s">
        <v>631</v>
      </c>
      <c r="D170" t="s">
        <v>18</v>
      </c>
      <c r="E170" t="s">
        <v>28</v>
      </c>
      <c r="F170" t="s">
        <v>37</v>
      </c>
      <c r="G170" t="s">
        <v>162</v>
      </c>
      <c r="H170" s="4">
        <v>2</v>
      </c>
      <c r="I170" s="5">
        <v>490.65</v>
      </c>
      <c r="J170" s="5">
        <f t="shared" si="2"/>
        <v>981.3</v>
      </c>
      <c r="K170" s="10">
        <f>YEAR(Table2[[#This Row],[Order Date]])</f>
        <v>2025</v>
      </c>
      <c r="L170">
        <f>MONTH(Table2[[#This Row],[Order Date]])</f>
        <v>5</v>
      </c>
      <c r="M170">
        <f>WEEKDAY(Table2[[#This Row],[Order Date]])</f>
        <v>6</v>
      </c>
      <c r="N170" s="5">
        <f>VLOOKUP(Table2[[#This Row],[Product]], Product_Lookup!$A$2:$B$26, 2, FALSE)</f>
        <v>149.27000000000001</v>
      </c>
      <c r="O170" s="5">
        <f>Table2[[#This Row],[Product Cost(VL)]]*Table2[[#This Row],[Quantity]]</f>
        <v>298.54000000000002</v>
      </c>
      <c r="P170" s="5">
        <f>Table2[[#This Row],[Sales Amount]]-Table2[[#This Row],[ PRODUCT COST]]</f>
        <v>682.76</v>
      </c>
    </row>
    <row r="171" spans="1:16" x14ac:dyDescent="0.25">
      <c r="A171" t="s">
        <v>272</v>
      </c>
      <c r="B171" s="3">
        <v>45787</v>
      </c>
      <c r="C171" t="s">
        <v>632</v>
      </c>
      <c r="D171" t="s">
        <v>18</v>
      </c>
      <c r="E171" t="s">
        <v>43</v>
      </c>
      <c r="F171" t="s">
        <v>14</v>
      </c>
      <c r="G171" t="s">
        <v>104</v>
      </c>
      <c r="H171" s="4">
        <v>4</v>
      </c>
      <c r="I171" s="5">
        <v>484.42</v>
      </c>
      <c r="J171" s="5">
        <f t="shared" si="2"/>
        <v>1937.68</v>
      </c>
      <c r="K171" s="10">
        <f>YEAR(Table2[[#This Row],[Order Date]])</f>
        <v>2025</v>
      </c>
      <c r="L171">
        <f>MONTH(Table2[[#This Row],[Order Date]])</f>
        <v>5</v>
      </c>
      <c r="M171">
        <f>WEEKDAY(Table2[[#This Row],[Order Date]])</f>
        <v>7</v>
      </c>
      <c r="N171" s="5">
        <f>VLOOKUP(Table2[[#This Row],[Product]], Product_Lookup!$A$2:$B$26, 2, FALSE)</f>
        <v>145.47999999999999</v>
      </c>
      <c r="O171" s="5">
        <f>Table2[[#This Row],[Product Cost(VL)]]*Table2[[#This Row],[Quantity]]</f>
        <v>581.91999999999996</v>
      </c>
      <c r="P171" s="5">
        <f>Table2[[#This Row],[Sales Amount]]-Table2[[#This Row],[ PRODUCT COST]]</f>
        <v>1355.7600000000002</v>
      </c>
    </row>
    <row r="172" spans="1:16" x14ac:dyDescent="0.25">
      <c r="A172" t="s">
        <v>273</v>
      </c>
      <c r="B172" s="3">
        <v>45788</v>
      </c>
      <c r="C172" t="s">
        <v>633</v>
      </c>
      <c r="D172" t="s">
        <v>12</v>
      </c>
      <c r="E172" t="s">
        <v>58</v>
      </c>
      <c r="F172" t="s">
        <v>24</v>
      </c>
      <c r="G172" t="s">
        <v>25</v>
      </c>
      <c r="H172" s="4">
        <v>13</v>
      </c>
      <c r="I172" s="5">
        <v>173.42</v>
      </c>
      <c r="J172" s="5">
        <f t="shared" si="2"/>
        <v>2254.46</v>
      </c>
      <c r="K172" s="10">
        <f>YEAR(Table2[[#This Row],[Order Date]])</f>
        <v>2025</v>
      </c>
      <c r="L172">
        <f>MONTH(Table2[[#This Row],[Order Date]])</f>
        <v>5</v>
      </c>
      <c r="M172">
        <f>WEEKDAY(Table2[[#This Row],[Order Date]])</f>
        <v>1</v>
      </c>
      <c r="N172" s="5">
        <f>VLOOKUP(Table2[[#This Row],[Product]], Product_Lookup!$A$2:$B$26, 2, FALSE)</f>
        <v>88.18</v>
      </c>
      <c r="O172" s="5">
        <f>Table2[[#This Row],[Product Cost(VL)]]*Table2[[#This Row],[Quantity]]</f>
        <v>1146.3400000000001</v>
      </c>
      <c r="P172" s="5">
        <f>Table2[[#This Row],[Sales Amount]]-Table2[[#This Row],[ PRODUCT COST]]</f>
        <v>1108.1199999999999</v>
      </c>
    </row>
    <row r="173" spans="1:16" x14ac:dyDescent="0.25">
      <c r="A173" t="s">
        <v>274</v>
      </c>
      <c r="B173" s="3">
        <v>45789</v>
      </c>
      <c r="C173" t="s">
        <v>634</v>
      </c>
      <c r="D173" t="s">
        <v>12</v>
      </c>
      <c r="E173" t="s">
        <v>58</v>
      </c>
      <c r="F173" t="s">
        <v>14</v>
      </c>
      <c r="G173" t="s">
        <v>20</v>
      </c>
      <c r="H173" s="4">
        <v>10</v>
      </c>
      <c r="I173" s="5">
        <v>115.82</v>
      </c>
      <c r="J173" s="5">
        <f t="shared" si="2"/>
        <v>1158.1999999999998</v>
      </c>
      <c r="K173" s="10">
        <f>YEAR(Table2[[#This Row],[Order Date]])</f>
        <v>2025</v>
      </c>
      <c r="L173">
        <f>MONTH(Table2[[#This Row],[Order Date]])</f>
        <v>5</v>
      </c>
      <c r="M173">
        <f>WEEKDAY(Table2[[#This Row],[Order Date]])</f>
        <v>2</v>
      </c>
      <c r="N173" s="5">
        <f>VLOOKUP(Table2[[#This Row],[Product]], Product_Lookup!$A$2:$B$26, 2, FALSE)</f>
        <v>178.83</v>
      </c>
      <c r="O173" s="5">
        <f>Table2[[#This Row],[Product Cost(VL)]]*Table2[[#This Row],[Quantity]]</f>
        <v>1788.3000000000002</v>
      </c>
      <c r="P173" s="5">
        <f>Table2[[#This Row],[Sales Amount]]-Table2[[#This Row],[ PRODUCT COST]]</f>
        <v>-630.10000000000036</v>
      </c>
    </row>
    <row r="174" spans="1:16" x14ac:dyDescent="0.25">
      <c r="A174" t="s">
        <v>275</v>
      </c>
      <c r="B174" s="3">
        <v>45790</v>
      </c>
      <c r="C174" t="s">
        <v>635</v>
      </c>
      <c r="D174" t="s">
        <v>18</v>
      </c>
      <c r="E174" t="s">
        <v>58</v>
      </c>
      <c r="F174" t="s">
        <v>24</v>
      </c>
      <c r="G174" t="s">
        <v>25</v>
      </c>
      <c r="H174" s="4">
        <v>14</v>
      </c>
      <c r="I174" s="5">
        <v>492.17</v>
      </c>
      <c r="J174" s="5">
        <f t="shared" si="2"/>
        <v>6890.38</v>
      </c>
      <c r="K174" s="10">
        <f>YEAR(Table2[[#This Row],[Order Date]])</f>
        <v>2025</v>
      </c>
      <c r="L174">
        <f>MONTH(Table2[[#This Row],[Order Date]])</f>
        <v>5</v>
      </c>
      <c r="M174">
        <f>WEEKDAY(Table2[[#This Row],[Order Date]])</f>
        <v>3</v>
      </c>
      <c r="N174" s="5">
        <f>VLOOKUP(Table2[[#This Row],[Product]], Product_Lookup!$A$2:$B$26, 2, FALSE)</f>
        <v>88.18</v>
      </c>
      <c r="O174" s="5">
        <f>Table2[[#This Row],[Product Cost(VL)]]*Table2[[#This Row],[Quantity]]</f>
        <v>1234.52</v>
      </c>
      <c r="P174" s="5">
        <f>Table2[[#This Row],[Sales Amount]]-Table2[[#This Row],[ PRODUCT COST]]</f>
        <v>5655.8600000000006</v>
      </c>
    </row>
    <row r="175" spans="1:16" x14ac:dyDescent="0.25">
      <c r="A175" t="s">
        <v>276</v>
      </c>
      <c r="B175" s="3">
        <v>45791</v>
      </c>
      <c r="C175" t="s">
        <v>636</v>
      </c>
      <c r="D175" t="s">
        <v>23</v>
      </c>
      <c r="E175" t="s">
        <v>43</v>
      </c>
      <c r="F175" t="s">
        <v>29</v>
      </c>
      <c r="G175" t="s">
        <v>47</v>
      </c>
      <c r="H175" s="4">
        <v>14</v>
      </c>
      <c r="I175" s="5">
        <v>22.63</v>
      </c>
      <c r="J175" s="5">
        <f t="shared" si="2"/>
        <v>316.82</v>
      </c>
      <c r="K175" s="10">
        <f>YEAR(Table2[[#This Row],[Order Date]])</f>
        <v>2025</v>
      </c>
      <c r="L175">
        <f>MONTH(Table2[[#This Row],[Order Date]])</f>
        <v>5</v>
      </c>
      <c r="M175">
        <f>WEEKDAY(Table2[[#This Row],[Order Date]])</f>
        <v>4</v>
      </c>
      <c r="N175" s="5">
        <f>VLOOKUP(Table2[[#This Row],[Product]], Product_Lookup!$A$2:$B$26, 2, FALSE)</f>
        <v>107.34</v>
      </c>
      <c r="O175" s="5">
        <f>Table2[[#This Row],[Product Cost(VL)]]*Table2[[#This Row],[Quantity]]</f>
        <v>1502.76</v>
      </c>
      <c r="P175" s="5">
        <f>Table2[[#This Row],[Sales Amount]]-Table2[[#This Row],[ PRODUCT COST]]</f>
        <v>-1185.94</v>
      </c>
    </row>
    <row r="176" spans="1:16" x14ac:dyDescent="0.25">
      <c r="A176" t="s">
        <v>277</v>
      </c>
      <c r="B176" s="3">
        <v>45792</v>
      </c>
      <c r="C176" t="s">
        <v>637</v>
      </c>
      <c r="D176" t="s">
        <v>12</v>
      </c>
      <c r="E176" t="s">
        <v>58</v>
      </c>
      <c r="F176" t="s">
        <v>24</v>
      </c>
      <c r="G176" t="s">
        <v>64</v>
      </c>
      <c r="H176" s="4">
        <v>3</v>
      </c>
      <c r="I176" s="5">
        <v>140.03</v>
      </c>
      <c r="J176" s="5">
        <f t="shared" si="2"/>
        <v>420.09000000000003</v>
      </c>
      <c r="K176" s="10">
        <f>YEAR(Table2[[#This Row],[Order Date]])</f>
        <v>2025</v>
      </c>
      <c r="L176">
        <f>MONTH(Table2[[#This Row],[Order Date]])</f>
        <v>5</v>
      </c>
      <c r="M176">
        <f>WEEKDAY(Table2[[#This Row],[Order Date]])</f>
        <v>5</v>
      </c>
      <c r="N176" s="5">
        <f>VLOOKUP(Table2[[#This Row],[Product]], Product_Lookup!$A$2:$B$26, 2, FALSE)</f>
        <v>46.19</v>
      </c>
      <c r="O176" s="5">
        <f>Table2[[#This Row],[Product Cost(VL)]]*Table2[[#This Row],[Quantity]]</f>
        <v>138.57</v>
      </c>
      <c r="P176" s="5">
        <f>Table2[[#This Row],[Sales Amount]]-Table2[[#This Row],[ PRODUCT COST]]</f>
        <v>281.52000000000004</v>
      </c>
    </row>
    <row r="177" spans="1:16" x14ac:dyDescent="0.25">
      <c r="A177" t="s">
        <v>278</v>
      </c>
      <c r="B177" s="3">
        <v>45793</v>
      </c>
      <c r="C177" t="s">
        <v>638</v>
      </c>
      <c r="D177" t="s">
        <v>12</v>
      </c>
      <c r="E177" t="s">
        <v>669</v>
      </c>
      <c r="F177" t="s">
        <v>14</v>
      </c>
      <c r="G177" t="s">
        <v>98</v>
      </c>
      <c r="H177" s="4">
        <v>8</v>
      </c>
      <c r="I177" s="5">
        <v>391.23</v>
      </c>
      <c r="J177" s="5">
        <f t="shared" si="2"/>
        <v>3129.84</v>
      </c>
      <c r="K177" s="10">
        <f>YEAR(Table2[[#This Row],[Order Date]])</f>
        <v>2025</v>
      </c>
      <c r="L177">
        <f>MONTH(Table2[[#This Row],[Order Date]])</f>
        <v>5</v>
      </c>
      <c r="M177">
        <f>WEEKDAY(Table2[[#This Row],[Order Date]])</f>
        <v>6</v>
      </c>
      <c r="N177" s="5">
        <f>VLOOKUP(Table2[[#This Row],[Product]], Product_Lookup!$A$2:$B$26, 2, FALSE)</f>
        <v>230.68</v>
      </c>
      <c r="O177" s="5">
        <f>Table2[[#This Row],[Product Cost(VL)]]*Table2[[#This Row],[Quantity]]</f>
        <v>1845.44</v>
      </c>
      <c r="P177" s="5">
        <f>Table2[[#This Row],[Sales Amount]]-Table2[[#This Row],[ PRODUCT COST]]</f>
        <v>1284.4000000000001</v>
      </c>
    </row>
    <row r="178" spans="1:16" x14ac:dyDescent="0.25">
      <c r="A178" t="s">
        <v>279</v>
      </c>
      <c r="B178" s="3">
        <v>45794</v>
      </c>
      <c r="C178" t="s">
        <v>639</v>
      </c>
      <c r="D178" t="s">
        <v>12</v>
      </c>
      <c r="E178" t="s">
        <v>13</v>
      </c>
      <c r="F178" t="s">
        <v>165</v>
      </c>
      <c r="G178" t="s">
        <v>111</v>
      </c>
      <c r="H178" s="4">
        <v>10</v>
      </c>
      <c r="I178" s="5">
        <v>31.25</v>
      </c>
      <c r="J178" s="5">
        <f t="shared" si="2"/>
        <v>312.5</v>
      </c>
      <c r="K178" s="10">
        <f>YEAR(Table2[[#This Row],[Order Date]])</f>
        <v>2025</v>
      </c>
      <c r="L178">
        <f>MONTH(Table2[[#This Row],[Order Date]])</f>
        <v>5</v>
      </c>
      <c r="M178">
        <f>WEEKDAY(Table2[[#This Row],[Order Date]])</f>
        <v>7</v>
      </c>
      <c r="N178" s="5">
        <f>VLOOKUP(Table2[[#This Row],[Product]], Product_Lookup!$A$2:$B$26, 2, FALSE)</f>
        <v>81.02</v>
      </c>
      <c r="O178" s="5">
        <f>Table2[[#This Row],[Product Cost(VL)]]*Table2[[#This Row],[Quantity]]</f>
        <v>810.19999999999993</v>
      </c>
      <c r="P178" s="5">
        <f>Table2[[#This Row],[Sales Amount]]-Table2[[#This Row],[ PRODUCT COST]]</f>
        <v>-497.69999999999993</v>
      </c>
    </row>
    <row r="179" spans="1:16" x14ac:dyDescent="0.25">
      <c r="A179" t="s">
        <v>280</v>
      </c>
      <c r="B179" s="3">
        <v>45795</v>
      </c>
      <c r="C179" t="s">
        <v>640</v>
      </c>
      <c r="D179" t="s">
        <v>12</v>
      </c>
      <c r="E179" t="s">
        <v>669</v>
      </c>
      <c r="F179" t="s">
        <v>33</v>
      </c>
      <c r="G179" t="s">
        <v>89</v>
      </c>
      <c r="H179" s="4">
        <v>1</v>
      </c>
      <c r="I179" s="5">
        <v>39.799999999999997</v>
      </c>
      <c r="J179" s="5">
        <f t="shared" si="2"/>
        <v>39.799999999999997</v>
      </c>
      <c r="K179" s="10">
        <f>YEAR(Table2[[#This Row],[Order Date]])</f>
        <v>2025</v>
      </c>
      <c r="L179">
        <f>MONTH(Table2[[#This Row],[Order Date]])</f>
        <v>5</v>
      </c>
      <c r="M179">
        <f>WEEKDAY(Table2[[#This Row],[Order Date]])</f>
        <v>1</v>
      </c>
      <c r="N179" s="5">
        <f>VLOOKUP(Table2[[#This Row],[Product]], Product_Lookup!$A$2:$B$26, 2, FALSE)</f>
        <v>26.59</v>
      </c>
      <c r="O179" s="5">
        <f>Table2[[#This Row],[Product Cost(VL)]]*Table2[[#This Row],[Quantity]]</f>
        <v>26.59</v>
      </c>
      <c r="P179" s="5">
        <f>Table2[[#This Row],[Sales Amount]]-Table2[[#This Row],[ PRODUCT COST]]</f>
        <v>13.209999999999997</v>
      </c>
    </row>
    <row r="180" spans="1:16" x14ac:dyDescent="0.25">
      <c r="A180" t="s">
        <v>281</v>
      </c>
      <c r="B180" s="3">
        <v>45796</v>
      </c>
      <c r="C180" t="s">
        <v>641</v>
      </c>
      <c r="D180" t="s">
        <v>23</v>
      </c>
      <c r="E180" t="s">
        <v>28</v>
      </c>
      <c r="F180" t="s">
        <v>14</v>
      </c>
      <c r="G180" t="s">
        <v>104</v>
      </c>
      <c r="H180" s="4">
        <v>15</v>
      </c>
      <c r="I180" s="5">
        <v>227.35</v>
      </c>
      <c r="J180" s="5">
        <f t="shared" si="2"/>
        <v>3410.25</v>
      </c>
      <c r="K180" s="10">
        <f>YEAR(Table2[[#This Row],[Order Date]])</f>
        <v>2025</v>
      </c>
      <c r="L180">
        <f>MONTH(Table2[[#This Row],[Order Date]])</f>
        <v>5</v>
      </c>
      <c r="M180">
        <f>WEEKDAY(Table2[[#This Row],[Order Date]])</f>
        <v>2</v>
      </c>
      <c r="N180" s="5">
        <f>VLOOKUP(Table2[[#This Row],[Product]], Product_Lookup!$A$2:$B$26, 2, FALSE)</f>
        <v>145.47999999999999</v>
      </c>
      <c r="O180" s="5">
        <f>Table2[[#This Row],[Product Cost(VL)]]*Table2[[#This Row],[Quantity]]</f>
        <v>2182.1999999999998</v>
      </c>
      <c r="P180" s="5">
        <f>Table2[[#This Row],[Sales Amount]]-Table2[[#This Row],[ PRODUCT COST]]</f>
        <v>1228.0500000000002</v>
      </c>
    </row>
    <row r="181" spans="1:16" x14ac:dyDescent="0.25">
      <c r="A181" t="s">
        <v>282</v>
      </c>
      <c r="B181" s="3">
        <v>45797</v>
      </c>
      <c r="C181" t="s">
        <v>642</v>
      </c>
      <c r="D181" t="s">
        <v>12</v>
      </c>
      <c r="E181" t="s">
        <v>669</v>
      </c>
      <c r="F181" t="s">
        <v>29</v>
      </c>
      <c r="G181" t="s">
        <v>47</v>
      </c>
      <c r="H181" s="4">
        <v>5</v>
      </c>
      <c r="I181" s="5">
        <v>315.92</v>
      </c>
      <c r="J181" s="5">
        <f t="shared" si="2"/>
        <v>1579.6000000000001</v>
      </c>
      <c r="K181" s="10">
        <f>YEAR(Table2[[#This Row],[Order Date]])</f>
        <v>2025</v>
      </c>
      <c r="L181">
        <f>MONTH(Table2[[#This Row],[Order Date]])</f>
        <v>5</v>
      </c>
      <c r="M181">
        <f>WEEKDAY(Table2[[#This Row],[Order Date]])</f>
        <v>3</v>
      </c>
      <c r="N181" s="5">
        <f>VLOOKUP(Table2[[#This Row],[Product]], Product_Lookup!$A$2:$B$26, 2, FALSE)</f>
        <v>107.34</v>
      </c>
      <c r="O181" s="5">
        <f>Table2[[#This Row],[Product Cost(VL)]]*Table2[[#This Row],[Quantity]]</f>
        <v>536.70000000000005</v>
      </c>
      <c r="P181" s="5">
        <f>Table2[[#This Row],[Sales Amount]]-Table2[[#This Row],[ PRODUCT COST]]</f>
        <v>1042.9000000000001</v>
      </c>
    </row>
    <row r="182" spans="1:16" x14ac:dyDescent="0.25">
      <c r="A182" t="s">
        <v>283</v>
      </c>
      <c r="B182" s="3">
        <v>45798</v>
      </c>
      <c r="C182" t="s">
        <v>643</v>
      </c>
      <c r="D182" t="s">
        <v>23</v>
      </c>
      <c r="E182" t="s">
        <v>43</v>
      </c>
      <c r="F182" t="s">
        <v>37</v>
      </c>
      <c r="G182" t="s">
        <v>111</v>
      </c>
      <c r="H182" s="4">
        <v>5</v>
      </c>
      <c r="I182" s="5">
        <v>232.32</v>
      </c>
      <c r="J182" s="5">
        <f t="shared" si="2"/>
        <v>1161.5999999999999</v>
      </c>
      <c r="K182" s="10">
        <f>YEAR(Table2[[#This Row],[Order Date]])</f>
        <v>2025</v>
      </c>
      <c r="L182">
        <f>MONTH(Table2[[#This Row],[Order Date]])</f>
        <v>5</v>
      </c>
      <c r="M182">
        <f>WEEKDAY(Table2[[#This Row],[Order Date]])</f>
        <v>4</v>
      </c>
      <c r="N182" s="5">
        <f>VLOOKUP(Table2[[#This Row],[Product]], Product_Lookup!$A$2:$B$26, 2, FALSE)</f>
        <v>81.02</v>
      </c>
      <c r="O182" s="5">
        <f>Table2[[#This Row],[Product Cost(VL)]]*Table2[[#This Row],[Quantity]]</f>
        <v>405.09999999999997</v>
      </c>
      <c r="P182" s="5">
        <f>Table2[[#This Row],[Sales Amount]]-Table2[[#This Row],[ PRODUCT COST]]</f>
        <v>756.5</v>
      </c>
    </row>
    <row r="183" spans="1:16" x14ac:dyDescent="0.25">
      <c r="A183" t="s">
        <v>284</v>
      </c>
      <c r="B183" s="3">
        <v>45799</v>
      </c>
      <c r="C183" t="s">
        <v>644</v>
      </c>
      <c r="D183" t="s">
        <v>23</v>
      </c>
      <c r="E183" t="s">
        <v>13</v>
      </c>
      <c r="F183" t="s">
        <v>14</v>
      </c>
      <c r="G183" t="s">
        <v>20</v>
      </c>
      <c r="H183" s="4">
        <v>14</v>
      </c>
      <c r="I183" s="5">
        <v>115.36</v>
      </c>
      <c r="J183" s="5">
        <f t="shared" si="2"/>
        <v>1615.04</v>
      </c>
      <c r="K183" s="10">
        <f>YEAR(Table2[[#This Row],[Order Date]])</f>
        <v>2025</v>
      </c>
      <c r="L183">
        <f>MONTH(Table2[[#This Row],[Order Date]])</f>
        <v>5</v>
      </c>
      <c r="M183">
        <f>WEEKDAY(Table2[[#This Row],[Order Date]])</f>
        <v>5</v>
      </c>
      <c r="N183" s="5">
        <f>VLOOKUP(Table2[[#This Row],[Product]], Product_Lookup!$A$2:$B$26, 2, FALSE)</f>
        <v>178.83</v>
      </c>
      <c r="O183" s="5">
        <f>Table2[[#This Row],[Product Cost(VL)]]*Table2[[#This Row],[Quantity]]</f>
        <v>2503.6200000000003</v>
      </c>
      <c r="P183" s="5">
        <f>Table2[[#This Row],[Sales Amount]]-Table2[[#This Row],[ PRODUCT COST]]</f>
        <v>-888.58000000000038</v>
      </c>
    </row>
    <row r="184" spans="1:16" x14ac:dyDescent="0.25">
      <c r="A184" t="s">
        <v>285</v>
      </c>
      <c r="B184" s="3">
        <v>45800</v>
      </c>
      <c r="C184" t="s">
        <v>645</v>
      </c>
      <c r="D184" t="s">
        <v>18</v>
      </c>
      <c r="E184" t="s">
        <v>28</v>
      </c>
      <c r="F184" t="s">
        <v>33</v>
      </c>
      <c r="G184" t="s">
        <v>89</v>
      </c>
      <c r="H184" s="4">
        <v>7</v>
      </c>
      <c r="I184" s="5">
        <v>367.51</v>
      </c>
      <c r="J184" s="5">
        <f t="shared" si="2"/>
        <v>2572.5699999999997</v>
      </c>
      <c r="K184" s="10">
        <f>YEAR(Table2[[#This Row],[Order Date]])</f>
        <v>2025</v>
      </c>
      <c r="L184">
        <f>MONTH(Table2[[#This Row],[Order Date]])</f>
        <v>5</v>
      </c>
      <c r="M184">
        <f>WEEKDAY(Table2[[#This Row],[Order Date]])</f>
        <v>6</v>
      </c>
      <c r="N184" s="5">
        <f>VLOOKUP(Table2[[#This Row],[Product]], Product_Lookup!$A$2:$B$26, 2, FALSE)</f>
        <v>26.59</v>
      </c>
      <c r="O184" s="5">
        <f>Table2[[#This Row],[Product Cost(VL)]]*Table2[[#This Row],[Quantity]]</f>
        <v>186.13</v>
      </c>
      <c r="P184" s="5">
        <f>Table2[[#This Row],[Sales Amount]]-Table2[[#This Row],[ PRODUCT COST]]</f>
        <v>2386.4399999999996</v>
      </c>
    </row>
    <row r="185" spans="1:16" x14ac:dyDescent="0.25">
      <c r="A185" t="s">
        <v>286</v>
      </c>
      <c r="B185" s="3">
        <v>45801</v>
      </c>
      <c r="C185" t="s">
        <v>646</v>
      </c>
      <c r="D185" t="s">
        <v>12</v>
      </c>
      <c r="E185" t="s">
        <v>43</v>
      </c>
      <c r="F185" t="s">
        <v>50</v>
      </c>
      <c r="G185" t="s">
        <v>34</v>
      </c>
      <c r="H185" s="4">
        <v>11</v>
      </c>
      <c r="I185" s="5">
        <v>462.26</v>
      </c>
      <c r="J185" s="5">
        <f t="shared" si="2"/>
        <v>5084.8599999999997</v>
      </c>
      <c r="K185" s="10">
        <f>YEAR(Table2[[#This Row],[Order Date]])</f>
        <v>2025</v>
      </c>
      <c r="L185">
        <f>MONTH(Table2[[#This Row],[Order Date]])</f>
        <v>5</v>
      </c>
      <c r="M185">
        <f>WEEKDAY(Table2[[#This Row],[Order Date]])</f>
        <v>7</v>
      </c>
      <c r="N185" s="5">
        <f>VLOOKUP(Table2[[#This Row],[Product]], Product_Lookup!$A$2:$B$26, 2, FALSE)</f>
        <v>230.34</v>
      </c>
      <c r="O185" s="5">
        <f>Table2[[#This Row],[Product Cost(VL)]]*Table2[[#This Row],[Quantity]]</f>
        <v>2533.7400000000002</v>
      </c>
      <c r="P185" s="5">
        <f>Table2[[#This Row],[Sales Amount]]-Table2[[#This Row],[ PRODUCT COST]]</f>
        <v>2551.1199999999994</v>
      </c>
    </row>
    <row r="186" spans="1:16" x14ac:dyDescent="0.25">
      <c r="A186" t="s">
        <v>287</v>
      </c>
      <c r="B186" s="3">
        <v>45802</v>
      </c>
      <c r="C186" t="s">
        <v>647</v>
      </c>
      <c r="D186" t="s">
        <v>12</v>
      </c>
      <c r="E186" t="s">
        <v>13</v>
      </c>
      <c r="F186" t="s">
        <v>14</v>
      </c>
      <c r="G186" t="s">
        <v>104</v>
      </c>
      <c r="H186" s="4">
        <v>12</v>
      </c>
      <c r="I186" s="5">
        <v>372.01</v>
      </c>
      <c r="J186" s="5">
        <f t="shared" si="2"/>
        <v>4464.12</v>
      </c>
      <c r="K186" s="10">
        <f>YEAR(Table2[[#This Row],[Order Date]])</f>
        <v>2025</v>
      </c>
      <c r="L186">
        <f>MONTH(Table2[[#This Row],[Order Date]])</f>
        <v>5</v>
      </c>
      <c r="M186">
        <f>WEEKDAY(Table2[[#This Row],[Order Date]])</f>
        <v>1</v>
      </c>
      <c r="N186" s="5">
        <f>VLOOKUP(Table2[[#This Row],[Product]], Product_Lookup!$A$2:$B$26, 2, FALSE)</f>
        <v>145.47999999999999</v>
      </c>
      <c r="O186" s="5">
        <f>Table2[[#This Row],[Product Cost(VL)]]*Table2[[#This Row],[Quantity]]</f>
        <v>1745.7599999999998</v>
      </c>
      <c r="P186" s="5">
        <f>Table2[[#This Row],[Sales Amount]]-Table2[[#This Row],[ PRODUCT COST]]</f>
        <v>2718.36</v>
      </c>
    </row>
    <row r="187" spans="1:16" x14ac:dyDescent="0.25">
      <c r="A187" t="s">
        <v>288</v>
      </c>
      <c r="B187" s="3">
        <v>45803</v>
      </c>
      <c r="C187" t="s">
        <v>648</v>
      </c>
      <c r="D187" t="s">
        <v>23</v>
      </c>
      <c r="E187" t="s">
        <v>13</v>
      </c>
      <c r="F187" t="s">
        <v>24</v>
      </c>
      <c r="G187" t="s">
        <v>121</v>
      </c>
      <c r="H187" s="4">
        <v>6</v>
      </c>
      <c r="I187" s="5">
        <v>338.31</v>
      </c>
      <c r="J187" s="5">
        <f t="shared" si="2"/>
        <v>2029.8600000000001</v>
      </c>
      <c r="K187" s="10">
        <f>YEAR(Table2[[#This Row],[Order Date]])</f>
        <v>2025</v>
      </c>
      <c r="L187">
        <f>MONTH(Table2[[#This Row],[Order Date]])</f>
        <v>5</v>
      </c>
      <c r="M187">
        <f>WEEKDAY(Table2[[#This Row],[Order Date]])</f>
        <v>2</v>
      </c>
      <c r="N187" s="5">
        <f>VLOOKUP(Table2[[#This Row],[Product]], Product_Lookup!$A$2:$B$26, 2, FALSE)</f>
        <v>32.94</v>
      </c>
      <c r="O187" s="5">
        <f>Table2[[#This Row],[Product Cost(VL)]]*Table2[[#This Row],[Quantity]]</f>
        <v>197.64</v>
      </c>
      <c r="P187" s="5">
        <f>Table2[[#This Row],[Sales Amount]]-Table2[[#This Row],[ PRODUCT COST]]</f>
        <v>1832.2200000000003</v>
      </c>
    </row>
    <row r="188" spans="1:16" x14ac:dyDescent="0.25">
      <c r="A188" t="s">
        <v>289</v>
      </c>
      <c r="B188" s="3">
        <v>45804</v>
      </c>
      <c r="C188" t="s">
        <v>649</v>
      </c>
      <c r="D188" t="s">
        <v>23</v>
      </c>
      <c r="E188" t="s">
        <v>28</v>
      </c>
      <c r="F188" t="s">
        <v>14</v>
      </c>
      <c r="G188" t="s">
        <v>15</v>
      </c>
      <c r="H188" s="4">
        <v>5</v>
      </c>
      <c r="I188" s="5">
        <v>182.31</v>
      </c>
      <c r="J188" s="5">
        <f t="shared" si="2"/>
        <v>911.55</v>
      </c>
      <c r="K188" s="10">
        <f>YEAR(Table2[[#This Row],[Order Date]])</f>
        <v>2025</v>
      </c>
      <c r="L188">
        <f>MONTH(Table2[[#This Row],[Order Date]])</f>
        <v>5</v>
      </c>
      <c r="M188">
        <f>WEEKDAY(Table2[[#This Row],[Order Date]])</f>
        <v>3</v>
      </c>
      <c r="N188" s="5">
        <f>VLOOKUP(Table2[[#This Row],[Product]], Product_Lookup!$A$2:$B$26, 2, FALSE)</f>
        <v>146.06</v>
      </c>
      <c r="O188" s="5">
        <f>Table2[[#This Row],[Product Cost(VL)]]*Table2[[#This Row],[Quantity]]</f>
        <v>730.3</v>
      </c>
      <c r="P188" s="5">
        <f>Table2[[#This Row],[Sales Amount]]-Table2[[#This Row],[ PRODUCT COST]]</f>
        <v>181.25</v>
      </c>
    </row>
    <row r="189" spans="1:16" x14ac:dyDescent="0.25">
      <c r="A189" t="s">
        <v>290</v>
      </c>
      <c r="B189" s="3">
        <v>45805</v>
      </c>
      <c r="C189" t="s">
        <v>650</v>
      </c>
      <c r="D189" t="s">
        <v>12</v>
      </c>
      <c r="E189" t="s">
        <v>58</v>
      </c>
      <c r="F189" t="s">
        <v>29</v>
      </c>
      <c r="G189" t="s">
        <v>30</v>
      </c>
      <c r="H189" s="4">
        <v>14</v>
      </c>
      <c r="I189" s="5">
        <v>63.03</v>
      </c>
      <c r="J189" s="5">
        <f t="shared" si="2"/>
        <v>882.42000000000007</v>
      </c>
      <c r="K189" s="10">
        <f>YEAR(Table2[[#This Row],[Order Date]])</f>
        <v>2025</v>
      </c>
      <c r="L189">
        <f>MONTH(Table2[[#This Row],[Order Date]])</f>
        <v>5</v>
      </c>
      <c r="M189">
        <f>WEEKDAY(Table2[[#This Row],[Order Date]])</f>
        <v>4</v>
      </c>
      <c r="N189" s="5">
        <f>VLOOKUP(Table2[[#This Row],[Product]], Product_Lookup!$A$2:$B$26, 2, FALSE)</f>
        <v>84.57</v>
      </c>
      <c r="O189" s="5">
        <f>Table2[[#This Row],[Product Cost(VL)]]*Table2[[#This Row],[Quantity]]</f>
        <v>1183.98</v>
      </c>
      <c r="P189" s="5">
        <f>Table2[[#This Row],[Sales Amount]]-Table2[[#This Row],[ PRODUCT COST]]</f>
        <v>-301.55999999999995</v>
      </c>
    </row>
    <row r="190" spans="1:16" x14ac:dyDescent="0.25">
      <c r="A190" t="s">
        <v>291</v>
      </c>
      <c r="B190" s="3">
        <v>45806</v>
      </c>
      <c r="C190" t="s">
        <v>651</v>
      </c>
      <c r="D190" t="s">
        <v>12</v>
      </c>
      <c r="E190" t="s">
        <v>13</v>
      </c>
      <c r="F190" t="s">
        <v>33</v>
      </c>
      <c r="G190" t="s">
        <v>72</v>
      </c>
      <c r="H190" s="4">
        <v>13</v>
      </c>
      <c r="I190" s="5">
        <v>220.27</v>
      </c>
      <c r="J190" s="5">
        <f t="shared" si="2"/>
        <v>2863.51</v>
      </c>
      <c r="K190" s="10">
        <f>YEAR(Table2[[#This Row],[Order Date]])</f>
        <v>2025</v>
      </c>
      <c r="L190">
        <f>MONTH(Table2[[#This Row],[Order Date]])</f>
        <v>5</v>
      </c>
      <c r="M190">
        <f>WEEKDAY(Table2[[#This Row],[Order Date]])</f>
        <v>5</v>
      </c>
      <c r="N190" s="5">
        <f>VLOOKUP(Table2[[#This Row],[Product]], Product_Lookup!$A$2:$B$26, 2, FALSE)</f>
        <v>211.9</v>
      </c>
      <c r="O190" s="5">
        <f>Table2[[#This Row],[Product Cost(VL)]]*Table2[[#This Row],[Quantity]]</f>
        <v>2754.7000000000003</v>
      </c>
      <c r="P190" s="5">
        <f>Table2[[#This Row],[Sales Amount]]-Table2[[#This Row],[ PRODUCT COST]]</f>
        <v>108.80999999999995</v>
      </c>
    </row>
    <row r="191" spans="1:16" x14ac:dyDescent="0.25">
      <c r="A191" t="s">
        <v>292</v>
      </c>
      <c r="B191" s="3">
        <v>45807</v>
      </c>
      <c r="C191" t="s">
        <v>652</v>
      </c>
      <c r="D191" t="s">
        <v>23</v>
      </c>
      <c r="E191" t="s">
        <v>669</v>
      </c>
      <c r="F191" t="s">
        <v>24</v>
      </c>
      <c r="G191" t="s">
        <v>25</v>
      </c>
      <c r="H191" s="4">
        <v>15</v>
      </c>
      <c r="I191" s="5">
        <v>332.34</v>
      </c>
      <c r="J191" s="5">
        <f t="shared" si="2"/>
        <v>4985.0999999999995</v>
      </c>
      <c r="K191" s="10">
        <f>YEAR(Table2[[#This Row],[Order Date]])</f>
        <v>2025</v>
      </c>
      <c r="L191">
        <f>MONTH(Table2[[#This Row],[Order Date]])</f>
        <v>5</v>
      </c>
      <c r="M191">
        <f>WEEKDAY(Table2[[#This Row],[Order Date]])</f>
        <v>6</v>
      </c>
      <c r="N191" s="5">
        <f>VLOOKUP(Table2[[#This Row],[Product]], Product_Lookup!$A$2:$B$26, 2, FALSE)</f>
        <v>88.18</v>
      </c>
      <c r="O191" s="5">
        <f>Table2[[#This Row],[Product Cost(VL)]]*Table2[[#This Row],[Quantity]]</f>
        <v>1322.7</v>
      </c>
      <c r="P191" s="5">
        <f>Table2[[#This Row],[Sales Amount]]-Table2[[#This Row],[ PRODUCT COST]]</f>
        <v>3662.3999999999996</v>
      </c>
    </row>
    <row r="192" spans="1:16" x14ac:dyDescent="0.25">
      <c r="A192" t="s">
        <v>293</v>
      </c>
      <c r="B192" s="3">
        <v>45808</v>
      </c>
      <c r="C192" t="s">
        <v>653</v>
      </c>
      <c r="D192" t="s">
        <v>23</v>
      </c>
      <c r="E192" t="s">
        <v>13</v>
      </c>
      <c r="F192" t="s">
        <v>29</v>
      </c>
      <c r="G192" t="s">
        <v>199</v>
      </c>
      <c r="H192" s="4">
        <v>13</v>
      </c>
      <c r="I192" s="5">
        <v>161.4</v>
      </c>
      <c r="J192" s="5">
        <f t="shared" si="2"/>
        <v>2098.2000000000003</v>
      </c>
      <c r="K192" s="10">
        <f>YEAR(Table2[[#This Row],[Order Date]])</f>
        <v>2025</v>
      </c>
      <c r="L192">
        <f>MONTH(Table2[[#This Row],[Order Date]])</f>
        <v>5</v>
      </c>
      <c r="M192">
        <f>WEEKDAY(Table2[[#This Row],[Order Date]])</f>
        <v>7</v>
      </c>
      <c r="N192" s="5">
        <f>VLOOKUP(Table2[[#This Row],[Product]], Product_Lookup!$A$2:$B$26, 2, FALSE)</f>
        <v>10.11</v>
      </c>
      <c r="O192" s="5">
        <f>Table2[[#This Row],[Product Cost(VL)]]*Table2[[#This Row],[Quantity]]</f>
        <v>131.43</v>
      </c>
      <c r="P192" s="5">
        <f>Table2[[#This Row],[Sales Amount]]-Table2[[#This Row],[ PRODUCT COST]]</f>
        <v>1966.7700000000002</v>
      </c>
    </row>
    <row r="193" spans="1:16" x14ac:dyDescent="0.25">
      <c r="A193" t="s">
        <v>294</v>
      </c>
      <c r="B193" s="3">
        <v>45809</v>
      </c>
      <c r="C193" t="s">
        <v>654</v>
      </c>
      <c r="D193" t="s">
        <v>23</v>
      </c>
      <c r="E193" t="s">
        <v>13</v>
      </c>
      <c r="F193" t="s">
        <v>29</v>
      </c>
      <c r="G193" t="s">
        <v>68</v>
      </c>
      <c r="H193" s="4">
        <v>11</v>
      </c>
      <c r="I193" s="5">
        <v>206.38</v>
      </c>
      <c r="J193" s="5">
        <f t="shared" si="2"/>
        <v>2270.1799999999998</v>
      </c>
      <c r="K193" s="10">
        <f>YEAR(Table2[[#This Row],[Order Date]])</f>
        <v>2025</v>
      </c>
      <c r="L193">
        <f>MONTH(Table2[[#This Row],[Order Date]])</f>
        <v>6</v>
      </c>
      <c r="M193">
        <f>WEEKDAY(Table2[[#This Row],[Order Date]])</f>
        <v>1</v>
      </c>
      <c r="N193" s="5">
        <f>VLOOKUP(Table2[[#This Row],[Product]], Product_Lookup!$A$2:$B$26, 2, FALSE)</f>
        <v>33.22</v>
      </c>
      <c r="O193" s="5">
        <f>Table2[[#This Row],[Product Cost(VL)]]*Table2[[#This Row],[Quantity]]</f>
        <v>365.41999999999996</v>
      </c>
      <c r="P193" s="5">
        <f>Table2[[#This Row],[Sales Amount]]-Table2[[#This Row],[ PRODUCT COST]]</f>
        <v>1904.7599999999998</v>
      </c>
    </row>
    <row r="194" spans="1:16" x14ac:dyDescent="0.25">
      <c r="A194" t="s">
        <v>295</v>
      </c>
      <c r="B194" s="3">
        <v>45810</v>
      </c>
      <c r="C194" t="s">
        <v>655</v>
      </c>
      <c r="D194" t="s">
        <v>12</v>
      </c>
      <c r="E194" t="s">
        <v>13</v>
      </c>
      <c r="F194" t="s">
        <v>247</v>
      </c>
      <c r="G194" t="s">
        <v>20</v>
      </c>
      <c r="H194" s="4">
        <v>7</v>
      </c>
      <c r="I194" s="5">
        <v>215.72</v>
      </c>
      <c r="J194" s="5">
        <f t="shared" si="2"/>
        <v>1510.04</v>
      </c>
      <c r="K194" s="10">
        <f>YEAR(Table2[[#This Row],[Order Date]])</f>
        <v>2025</v>
      </c>
      <c r="L194">
        <f>MONTH(Table2[[#This Row],[Order Date]])</f>
        <v>6</v>
      </c>
      <c r="M194">
        <f>WEEKDAY(Table2[[#This Row],[Order Date]])</f>
        <v>2</v>
      </c>
      <c r="N194" s="5">
        <f>VLOOKUP(Table2[[#This Row],[Product]], Product_Lookup!$A$2:$B$26, 2, FALSE)</f>
        <v>178.83</v>
      </c>
      <c r="O194" s="5">
        <f>Table2[[#This Row],[Product Cost(VL)]]*Table2[[#This Row],[Quantity]]</f>
        <v>1251.8100000000002</v>
      </c>
      <c r="P194" s="5">
        <f>Table2[[#This Row],[Sales Amount]]-Table2[[#This Row],[ PRODUCT COST]]</f>
        <v>258.22999999999979</v>
      </c>
    </row>
    <row r="195" spans="1:16" x14ac:dyDescent="0.25">
      <c r="A195" t="s">
        <v>296</v>
      </c>
      <c r="B195" s="3">
        <v>45811</v>
      </c>
      <c r="C195" t="s">
        <v>656</v>
      </c>
      <c r="D195" t="s">
        <v>23</v>
      </c>
      <c r="E195" t="s">
        <v>43</v>
      </c>
      <c r="F195" t="s">
        <v>33</v>
      </c>
      <c r="G195" t="s">
        <v>34</v>
      </c>
      <c r="H195" s="4">
        <v>10</v>
      </c>
      <c r="I195" s="5">
        <v>51.63</v>
      </c>
      <c r="J195" s="5">
        <f t="shared" si="2"/>
        <v>516.30000000000007</v>
      </c>
      <c r="K195" s="10">
        <f>YEAR(Table2[[#This Row],[Order Date]])</f>
        <v>2025</v>
      </c>
      <c r="L195">
        <f>MONTH(Table2[[#This Row],[Order Date]])</f>
        <v>6</v>
      </c>
      <c r="M195">
        <f>WEEKDAY(Table2[[#This Row],[Order Date]])</f>
        <v>3</v>
      </c>
      <c r="N195" s="5">
        <f>VLOOKUP(Table2[[#This Row],[Product]], Product_Lookup!$A$2:$B$26, 2, FALSE)</f>
        <v>230.34</v>
      </c>
      <c r="O195" s="5">
        <f>Table2[[#This Row],[Product Cost(VL)]]*Table2[[#This Row],[Quantity]]</f>
        <v>2303.4</v>
      </c>
      <c r="P195" s="5">
        <f>Table2[[#This Row],[Sales Amount]]-Table2[[#This Row],[ PRODUCT COST]]</f>
        <v>-1787.1</v>
      </c>
    </row>
    <row r="196" spans="1:16" x14ac:dyDescent="0.25">
      <c r="A196" t="s">
        <v>297</v>
      </c>
      <c r="B196" s="3">
        <v>45812</v>
      </c>
      <c r="C196" t="s">
        <v>657</v>
      </c>
      <c r="D196" t="s">
        <v>23</v>
      </c>
      <c r="E196" t="s">
        <v>58</v>
      </c>
      <c r="F196" t="s">
        <v>24</v>
      </c>
      <c r="G196" t="s">
        <v>25</v>
      </c>
      <c r="H196" s="4">
        <v>2</v>
      </c>
      <c r="I196" s="5">
        <v>143.33000000000001</v>
      </c>
      <c r="J196" s="5">
        <f t="shared" ref="J196:J207" si="3">I196*H196</f>
        <v>286.66000000000003</v>
      </c>
      <c r="K196" s="10">
        <f>YEAR(Table2[[#This Row],[Order Date]])</f>
        <v>2025</v>
      </c>
      <c r="L196">
        <f>MONTH(Table2[[#This Row],[Order Date]])</f>
        <v>6</v>
      </c>
      <c r="M196">
        <f>WEEKDAY(Table2[[#This Row],[Order Date]])</f>
        <v>4</v>
      </c>
      <c r="N196" s="5">
        <f>VLOOKUP(Table2[[#This Row],[Product]], Product_Lookup!$A$2:$B$26, 2, FALSE)</f>
        <v>88.18</v>
      </c>
      <c r="O196" s="5">
        <f>Table2[[#This Row],[Product Cost(VL)]]*Table2[[#This Row],[Quantity]]</f>
        <v>176.36</v>
      </c>
      <c r="P196" s="5">
        <f>Table2[[#This Row],[Sales Amount]]-Table2[[#This Row],[ PRODUCT COST]]</f>
        <v>110.30000000000001</v>
      </c>
    </row>
    <row r="197" spans="1:16" x14ac:dyDescent="0.25">
      <c r="A197" t="s">
        <v>298</v>
      </c>
      <c r="B197" s="3">
        <v>45813</v>
      </c>
      <c r="C197" t="s">
        <v>658</v>
      </c>
      <c r="D197" t="s">
        <v>18</v>
      </c>
      <c r="E197" t="s">
        <v>28</v>
      </c>
      <c r="F197" t="s">
        <v>24</v>
      </c>
      <c r="G197" t="s">
        <v>86</v>
      </c>
      <c r="H197" s="4">
        <v>5</v>
      </c>
      <c r="I197" s="5">
        <v>115.63</v>
      </c>
      <c r="J197" s="5">
        <f t="shared" si="3"/>
        <v>578.15</v>
      </c>
      <c r="K197" s="10">
        <f>YEAR(Table2[[#This Row],[Order Date]])</f>
        <v>2025</v>
      </c>
      <c r="L197">
        <f>MONTH(Table2[[#This Row],[Order Date]])</f>
        <v>6</v>
      </c>
      <c r="M197">
        <f>WEEKDAY(Table2[[#This Row],[Order Date]])</f>
        <v>5</v>
      </c>
      <c r="N197" s="5">
        <f>VLOOKUP(Table2[[#This Row],[Product]], Product_Lookup!$A$2:$B$26, 2, FALSE)</f>
        <v>130.07</v>
      </c>
      <c r="O197" s="5">
        <f>Table2[[#This Row],[Product Cost(VL)]]*Table2[[#This Row],[Quantity]]</f>
        <v>650.34999999999991</v>
      </c>
      <c r="P197" s="5">
        <f>Table2[[#This Row],[Sales Amount]]-Table2[[#This Row],[ PRODUCT COST]]</f>
        <v>-72.199999999999932</v>
      </c>
    </row>
    <row r="198" spans="1:16" x14ac:dyDescent="0.25">
      <c r="A198" t="s">
        <v>299</v>
      </c>
      <c r="B198" s="3">
        <v>45814</v>
      </c>
      <c r="C198" t="s">
        <v>659</v>
      </c>
      <c r="D198" t="s">
        <v>18</v>
      </c>
      <c r="E198" t="s">
        <v>43</v>
      </c>
      <c r="F198" t="s">
        <v>37</v>
      </c>
      <c r="G198" t="s">
        <v>38</v>
      </c>
      <c r="H198" s="4">
        <v>11</v>
      </c>
      <c r="I198" s="5">
        <v>342.46</v>
      </c>
      <c r="J198" s="5">
        <f t="shared" si="3"/>
        <v>3767.06</v>
      </c>
      <c r="K198" s="10">
        <f>YEAR(Table2[[#This Row],[Order Date]])</f>
        <v>2025</v>
      </c>
      <c r="L198">
        <f>MONTH(Table2[[#This Row],[Order Date]])</f>
        <v>6</v>
      </c>
      <c r="M198">
        <f>WEEKDAY(Table2[[#This Row],[Order Date]])</f>
        <v>6</v>
      </c>
      <c r="N198" s="5">
        <f>VLOOKUP(Table2[[#This Row],[Product]], Product_Lookup!$A$2:$B$26, 2, FALSE)</f>
        <v>64.61</v>
      </c>
      <c r="O198" s="5">
        <f>Table2[[#This Row],[Product Cost(VL)]]*Table2[[#This Row],[Quantity]]</f>
        <v>710.71</v>
      </c>
      <c r="P198" s="5">
        <f>Table2[[#This Row],[Sales Amount]]-Table2[[#This Row],[ PRODUCT COST]]</f>
        <v>3056.35</v>
      </c>
    </row>
    <row r="199" spans="1:16" x14ac:dyDescent="0.25">
      <c r="A199" t="s">
        <v>300</v>
      </c>
      <c r="B199" s="3">
        <v>45815</v>
      </c>
      <c r="C199" t="s">
        <v>660</v>
      </c>
      <c r="D199" t="s">
        <v>18</v>
      </c>
      <c r="E199" t="s">
        <v>43</v>
      </c>
      <c r="F199" t="s">
        <v>14</v>
      </c>
      <c r="G199" t="s">
        <v>81</v>
      </c>
      <c r="H199" s="4">
        <v>10</v>
      </c>
      <c r="I199" s="5">
        <v>36.840000000000003</v>
      </c>
      <c r="J199" s="5">
        <f t="shared" si="3"/>
        <v>368.40000000000003</v>
      </c>
      <c r="K199" s="10">
        <f>YEAR(Table2[[#This Row],[Order Date]])</f>
        <v>2025</v>
      </c>
      <c r="L199">
        <f>MONTH(Table2[[#This Row],[Order Date]])</f>
        <v>6</v>
      </c>
      <c r="M199">
        <f>WEEKDAY(Table2[[#This Row],[Order Date]])</f>
        <v>7</v>
      </c>
      <c r="N199" s="5">
        <f>VLOOKUP(Table2[[#This Row],[Product]], Product_Lookup!$A$2:$B$26, 2, FALSE)</f>
        <v>216.22</v>
      </c>
      <c r="O199" s="5">
        <f>Table2[[#This Row],[Product Cost(VL)]]*Table2[[#This Row],[Quantity]]</f>
        <v>2162.1999999999998</v>
      </c>
      <c r="P199" s="5">
        <f>Table2[[#This Row],[Sales Amount]]-Table2[[#This Row],[ PRODUCT COST]]</f>
        <v>-1793.7999999999997</v>
      </c>
    </row>
    <row r="200" spans="1:16" x14ac:dyDescent="0.25">
      <c r="A200" t="s">
        <v>301</v>
      </c>
      <c r="B200" s="3">
        <v>45816</v>
      </c>
      <c r="C200" t="s">
        <v>661</v>
      </c>
      <c r="D200" t="s">
        <v>18</v>
      </c>
      <c r="E200" t="s">
        <v>58</v>
      </c>
      <c r="F200" t="s">
        <v>29</v>
      </c>
      <c r="G200" t="s">
        <v>199</v>
      </c>
      <c r="H200" s="4">
        <v>6</v>
      </c>
      <c r="I200" s="5">
        <v>68.790000000000006</v>
      </c>
      <c r="J200" s="5">
        <f t="shared" si="3"/>
        <v>412.74</v>
      </c>
      <c r="K200" s="10">
        <f>YEAR(Table2[[#This Row],[Order Date]])</f>
        <v>2025</v>
      </c>
      <c r="L200">
        <f>MONTH(Table2[[#This Row],[Order Date]])</f>
        <v>6</v>
      </c>
      <c r="M200">
        <f>WEEKDAY(Table2[[#This Row],[Order Date]])</f>
        <v>1</v>
      </c>
      <c r="N200" s="5">
        <f>VLOOKUP(Table2[[#This Row],[Product]], Product_Lookup!$A$2:$B$26, 2, FALSE)</f>
        <v>10.11</v>
      </c>
      <c r="O200" s="5">
        <f>Table2[[#This Row],[Product Cost(VL)]]*Table2[[#This Row],[Quantity]]</f>
        <v>60.66</v>
      </c>
      <c r="P200" s="5">
        <f>Table2[[#This Row],[Sales Amount]]-Table2[[#This Row],[ PRODUCT COST]]</f>
        <v>352.08000000000004</v>
      </c>
    </row>
    <row r="201" spans="1:16" x14ac:dyDescent="0.25">
      <c r="A201" t="s">
        <v>302</v>
      </c>
      <c r="B201" s="3">
        <v>45817</v>
      </c>
      <c r="C201" t="s">
        <v>662</v>
      </c>
      <c r="D201" t="s">
        <v>18</v>
      </c>
      <c r="E201" t="s">
        <v>58</v>
      </c>
      <c r="F201" t="s">
        <v>29</v>
      </c>
      <c r="G201" t="s">
        <v>30</v>
      </c>
      <c r="H201" s="4">
        <v>12</v>
      </c>
      <c r="I201" s="5">
        <v>122.75</v>
      </c>
      <c r="J201" s="5">
        <f t="shared" si="3"/>
        <v>1473</v>
      </c>
      <c r="K201" s="10">
        <f>YEAR(Table2[[#This Row],[Order Date]])</f>
        <v>2025</v>
      </c>
      <c r="L201">
        <f>MONTH(Table2[[#This Row],[Order Date]])</f>
        <v>6</v>
      </c>
      <c r="M201">
        <f>WEEKDAY(Table2[[#This Row],[Order Date]])</f>
        <v>2</v>
      </c>
      <c r="N201" s="5">
        <f>VLOOKUP(Table2[[#This Row],[Product]], Product_Lookup!$A$2:$B$26, 2, FALSE)</f>
        <v>84.57</v>
      </c>
      <c r="O201" s="5">
        <f>Table2[[#This Row],[Product Cost(VL)]]*Table2[[#This Row],[Quantity]]</f>
        <v>1014.8399999999999</v>
      </c>
      <c r="P201" s="5">
        <f>Table2[[#This Row],[Sales Amount]]-Table2[[#This Row],[ PRODUCT COST]]</f>
        <v>458.16000000000008</v>
      </c>
    </row>
    <row r="202" spans="1:16" x14ac:dyDescent="0.25">
      <c r="A202" t="s">
        <v>303</v>
      </c>
      <c r="B202" s="3">
        <v>45818</v>
      </c>
      <c r="C202" t="s">
        <v>663</v>
      </c>
      <c r="D202" t="s">
        <v>23</v>
      </c>
      <c r="E202" t="s">
        <v>43</v>
      </c>
      <c r="F202" t="s">
        <v>14</v>
      </c>
      <c r="G202" t="s">
        <v>104</v>
      </c>
      <c r="H202" s="4">
        <v>1</v>
      </c>
      <c r="I202" s="5">
        <v>223.75</v>
      </c>
      <c r="J202" s="5">
        <f t="shared" si="3"/>
        <v>223.75</v>
      </c>
      <c r="K202" s="10">
        <f>YEAR(Table2[[#This Row],[Order Date]])</f>
        <v>2025</v>
      </c>
      <c r="L202">
        <f>MONTH(Table2[[#This Row],[Order Date]])</f>
        <v>6</v>
      </c>
      <c r="M202">
        <f>WEEKDAY(Table2[[#This Row],[Order Date]])</f>
        <v>3</v>
      </c>
      <c r="N202" s="5">
        <f>VLOOKUP(Table2[[#This Row],[Product]], Product_Lookup!$A$2:$B$26, 2, FALSE)</f>
        <v>145.47999999999999</v>
      </c>
      <c r="O202" s="5">
        <f>Table2[[#This Row],[Product Cost(VL)]]*Table2[[#This Row],[Quantity]]</f>
        <v>145.47999999999999</v>
      </c>
      <c r="P202" s="5">
        <f>Table2[[#This Row],[Sales Amount]]-Table2[[#This Row],[ PRODUCT COST]]</f>
        <v>78.27000000000001</v>
      </c>
    </row>
    <row r="203" spans="1:16" x14ac:dyDescent="0.25">
      <c r="A203" t="s">
        <v>504</v>
      </c>
      <c r="B203" s="3">
        <v>45819</v>
      </c>
      <c r="C203" t="s">
        <v>664</v>
      </c>
      <c r="D203" t="s">
        <v>12</v>
      </c>
      <c r="E203" t="s">
        <v>13</v>
      </c>
      <c r="F203" t="s">
        <v>14</v>
      </c>
      <c r="G203" t="s">
        <v>15</v>
      </c>
      <c r="H203" s="4">
        <v>4</v>
      </c>
      <c r="I203" s="5">
        <v>78.37</v>
      </c>
      <c r="J203" s="5">
        <f t="shared" si="3"/>
        <v>313.48</v>
      </c>
      <c r="K203" s="10">
        <f>YEAR(Table2[[#This Row],[Order Date]])</f>
        <v>2025</v>
      </c>
      <c r="L203">
        <f>MONTH(Table2[[#This Row],[Order Date]])</f>
        <v>6</v>
      </c>
      <c r="M203">
        <f>WEEKDAY(Table2[[#This Row],[Order Date]])</f>
        <v>4</v>
      </c>
      <c r="N203" s="5">
        <f>VLOOKUP(Table2[[#This Row],[Product]], Product_Lookup!$A$2:$B$26, 2, FALSE)</f>
        <v>146.06</v>
      </c>
      <c r="O203" s="5">
        <f>Table2[[#This Row],[Product Cost(VL)]]*Table2[[#This Row],[Quantity]]</f>
        <v>584.24</v>
      </c>
      <c r="P203" s="5">
        <f>Table2[[#This Row],[Sales Amount]]-Table2[[#This Row],[ PRODUCT COST]]</f>
        <v>-270.76</v>
      </c>
    </row>
    <row r="204" spans="1:16" x14ac:dyDescent="0.25">
      <c r="A204" t="s">
        <v>505</v>
      </c>
      <c r="B204" s="3">
        <v>45820</v>
      </c>
      <c r="C204" t="s">
        <v>665</v>
      </c>
      <c r="D204" t="s">
        <v>18</v>
      </c>
      <c r="E204" t="s">
        <v>669</v>
      </c>
      <c r="F204" t="s">
        <v>14</v>
      </c>
      <c r="G204" t="s">
        <v>20</v>
      </c>
      <c r="H204" s="4">
        <v>1</v>
      </c>
      <c r="I204" s="5">
        <v>24.6</v>
      </c>
      <c r="J204" s="5">
        <f t="shared" si="3"/>
        <v>24.6</v>
      </c>
      <c r="K204" s="10">
        <f>YEAR(Table2[[#This Row],[Order Date]])</f>
        <v>2025</v>
      </c>
      <c r="L204">
        <f>MONTH(Table2[[#This Row],[Order Date]])</f>
        <v>6</v>
      </c>
      <c r="M204">
        <f>WEEKDAY(Table2[[#This Row],[Order Date]])</f>
        <v>5</v>
      </c>
      <c r="N204" s="5">
        <f>VLOOKUP(Table2[[#This Row],[Product]], Product_Lookup!$A$2:$B$26, 2, FALSE)</f>
        <v>178.83</v>
      </c>
      <c r="O204" s="5">
        <f>Table2[[#This Row],[Product Cost(VL)]]*Table2[[#This Row],[Quantity]]</f>
        <v>178.83</v>
      </c>
      <c r="P204" s="5">
        <f>Table2[[#This Row],[Sales Amount]]-Table2[[#This Row],[ PRODUCT COST]]</f>
        <v>-154.23000000000002</v>
      </c>
    </row>
    <row r="205" spans="1:16" x14ac:dyDescent="0.25">
      <c r="A205" t="s">
        <v>506</v>
      </c>
      <c r="B205" s="3">
        <v>45821</v>
      </c>
      <c r="C205" t="s">
        <v>666</v>
      </c>
      <c r="D205" t="s">
        <v>23</v>
      </c>
      <c r="E205" t="s">
        <v>669</v>
      </c>
      <c r="F205" t="s">
        <v>24</v>
      </c>
      <c r="G205" t="s">
        <v>25</v>
      </c>
      <c r="H205" s="4">
        <v>4</v>
      </c>
      <c r="I205" s="5">
        <v>360.85</v>
      </c>
      <c r="J205" s="5">
        <f t="shared" si="3"/>
        <v>1443.4</v>
      </c>
      <c r="K205" s="10">
        <f>YEAR(Table2[[#This Row],[Order Date]])</f>
        <v>2025</v>
      </c>
      <c r="L205">
        <f>MONTH(Table2[[#This Row],[Order Date]])</f>
        <v>6</v>
      </c>
      <c r="M205">
        <f>WEEKDAY(Table2[[#This Row],[Order Date]])</f>
        <v>6</v>
      </c>
      <c r="N205" s="5">
        <f>VLOOKUP(Table2[[#This Row],[Product]], Product_Lookup!$A$2:$B$26, 2, FALSE)</f>
        <v>88.18</v>
      </c>
      <c r="O205" s="5">
        <f>Table2[[#This Row],[Product Cost(VL)]]*Table2[[#This Row],[Quantity]]</f>
        <v>352.72</v>
      </c>
      <c r="P205" s="5">
        <f>Table2[[#This Row],[Sales Amount]]-Table2[[#This Row],[ PRODUCT COST]]</f>
        <v>1090.68</v>
      </c>
    </row>
    <row r="206" spans="1:16" x14ac:dyDescent="0.25">
      <c r="A206" t="s">
        <v>507</v>
      </c>
      <c r="B206" s="3">
        <v>45822</v>
      </c>
      <c r="C206" t="s">
        <v>667</v>
      </c>
      <c r="D206" t="s">
        <v>23</v>
      </c>
      <c r="E206" t="s">
        <v>28</v>
      </c>
      <c r="F206" t="s">
        <v>29</v>
      </c>
      <c r="G206" t="s">
        <v>30</v>
      </c>
      <c r="H206" s="4">
        <v>5</v>
      </c>
      <c r="I206" s="5">
        <v>406.62</v>
      </c>
      <c r="J206" s="5">
        <f t="shared" si="3"/>
        <v>2033.1</v>
      </c>
      <c r="K206" s="10">
        <f>YEAR(Table2[[#This Row],[Order Date]])</f>
        <v>2025</v>
      </c>
      <c r="L206">
        <f>MONTH(Table2[[#This Row],[Order Date]])</f>
        <v>6</v>
      </c>
      <c r="M206">
        <f>WEEKDAY(Table2[[#This Row],[Order Date]])</f>
        <v>7</v>
      </c>
      <c r="N206" s="5">
        <f>VLOOKUP(Table2[[#This Row],[Product]], Product_Lookup!$A$2:$B$26, 2, FALSE)</f>
        <v>84.57</v>
      </c>
      <c r="O206" s="5">
        <f>Table2[[#This Row],[Product Cost(VL)]]*Table2[[#This Row],[Quantity]]</f>
        <v>422.84999999999997</v>
      </c>
      <c r="P206" s="5">
        <f>Table2[[#This Row],[Sales Amount]]-Table2[[#This Row],[ PRODUCT COST]]</f>
        <v>1610.25</v>
      </c>
    </row>
    <row r="207" spans="1:16" x14ac:dyDescent="0.25">
      <c r="A207" t="s">
        <v>508</v>
      </c>
      <c r="B207" s="3">
        <v>45823</v>
      </c>
      <c r="C207" t="s">
        <v>668</v>
      </c>
      <c r="D207" t="s">
        <v>12</v>
      </c>
      <c r="E207" t="s">
        <v>28</v>
      </c>
      <c r="F207" t="s">
        <v>33</v>
      </c>
      <c r="G207" t="s">
        <v>34</v>
      </c>
      <c r="H207" s="4">
        <v>4</v>
      </c>
      <c r="I207" s="5">
        <v>479.03</v>
      </c>
      <c r="J207" s="5">
        <f t="shared" si="3"/>
        <v>1916.12</v>
      </c>
      <c r="K207" s="10">
        <f>YEAR(Table2[[#This Row],[Order Date]])</f>
        <v>2025</v>
      </c>
      <c r="L207">
        <f>MONTH(Table2[[#This Row],[Order Date]])</f>
        <v>6</v>
      </c>
      <c r="M207">
        <f>WEEKDAY(Table2[[#This Row],[Order Date]])</f>
        <v>1</v>
      </c>
      <c r="N207" s="5">
        <f>VLOOKUP(Table2[[#This Row],[Product]], Product_Lookup!$A$2:$B$26, 2, FALSE)</f>
        <v>230.34</v>
      </c>
      <c r="O207" s="5">
        <f>Table2[[#This Row],[Product Cost(VL)]]*Table2[[#This Row],[Quantity]]</f>
        <v>921.36</v>
      </c>
      <c r="P207" s="5">
        <f>Table2[[#This Row],[Sales Amount]]-Table2[[#This Row],[ PRODUCT COST]]</f>
        <v>994.75999999999988</v>
      </c>
    </row>
    <row r="208" spans="1:16" x14ac:dyDescent="0.25">
      <c r="A208" t="s">
        <v>672</v>
      </c>
      <c r="H208" s="4">
        <f>SUBTOTAL(109,Table2[Quantity])</f>
        <v>1702</v>
      </c>
      <c r="I208" s="5">
        <f>SUBTOTAL(109,Table2[Unit Price])</f>
        <v>50287.199999999983</v>
      </c>
      <c r="J208" s="5">
        <f>SUBTOTAL(109,Table2[Sales Amount])</f>
        <v>423108.0199999999</v>
      </c>
      <c r="N208" s="5">
        <f>SUBTOTAL(109,Table2[Product Cost(VL)])</f>
        <v>25776.060000000012</v>
      </c>
      <c r="O208" s="5">
        <f>SUBTOTAL(109,Table2[[ PRODUCT COST]])</f>
        <v>212207.49000000008</v>
      </c>
      <c r="P208" s="5">
        <f>SUBTOTAL(109,Table2[PROFIT])</f>
        <v>210900.52999999988</v>
      </c>
    </row>
  </sheetData>
  <phoneticPr fontId="3" type="noConversion"/>
  <conditionalFormatting sqref="A3:A207">
    <cfRule type="duplicateValues" dxfId="13" priority="8"/>
  </conditionalFormatting>
  <conditionalFormatting sqref="C3:C207">
    <cfRule type="duplicateValues" dxfId="12" priority="5"/>
    <cfRule type="duplicateValues" dxfId="11" priority="6"/>
    <cfRule type="duplicateValues" dxfId="10" priority="7"/>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6290B-57EF-4DC1-8C39-030619622A3C}">
  <dimension ref="B1:X212"/>
  <sheetViews>
    <sheetView topLeftCell="F1" workbookViewId="0">
      <pane ySplit="1" topLeftCell="A2" activePane="bottomLeft" state="frozen"/>
      <selection activeCell="F1" sqref="F1"/>
      <selection pane="bottomLeft" activeCell="F2" sqref="A2:XFD2"/>
    </sheetView>
  </sheetViews>
  <sheetFormatPr defaultRowHeight="15" x14ac:dyDescent="0.25"/>
  <cols>
    <col min="2" max="2" width="16.42578125" bestFit="1" customWidth="1"/>
    <col min="3" max="3" width="22" customWidth="1"/>
    <col min="4" max="5" width="22.7109375" bestFit="1" customWidth="1"/>
    <col min="8" max="8" width="14.42578125" customWidth="1"/>
    <col min="9" max="9" width="14.5703125" customWidth="1"/>
    <col min="10" max="10" width="9.140625" customWidth="1"/>
    <col min="11" max="11" width="12.5703125" style="26" bestFit="1" customWidth="1"/>
    <col min="12" max="12" width="15.85546875" bestFit="1" customWidth="1"/>
    <col min="21" max="21" width="20" style="5" bestFit="1" customWidth="1"/>
    <col min="23" max="23" width="16.85546875" bestFit="1" customWidth="1"/>
    <col min="24" max="24" width="11.85546875" bestFit="1" customWidth="1"/>
  </cols>
  <sheetData>
    <row r="1" spans="2:24" s="8" customFormat="1" ht="15.75" customHeight="1" x14ac:dyDescent="0.25">
      <c r="C1" s="8" t="s">
        <v>9</v>
      </c>
      <c r="D1" s="21" t="s">
        <v>686</v>
      </c>
      <c r="E1" s="21" t="s">
        <v>687</v>
      </c>
      <c r="F1" s="21" t="s">
        <v>688</v>
      </c>
      <c r="G1" s="21" t="s">
        <v>689</v>
      </c>
      <c r="H1" s="21" t="s">
        <v>690</v>
      </c>
      <c r="I1" s="21" t="s">
        <v>691</v>
      </c>
      <c r="J1" s="21" t="s">
        <v>693</v>
      </c>
      <c r="K1" s="25" t="s">
        <v>692</v>
      </c>
      <c r="L1" s="21" t="s">
        <v>694</v>
      </c>
      <c r="U1" s="20" t="s">
        <v>684</v>
      </c>
      <c r="W1" s="22" t="s">
        <v>682</v>
      </c>
      <c r="X1" s="22" t="s">
        <v>685</v>
      </c>
    </row>
    <row r="2" spans="2:24" ht="15" customHeight="1" x14ac:dyDescent="0.25">
      <c r="B2" s="8"/>
      <c r="C2">
        <f>DATA_CLEANING!J3</f>
        <v>313.48</v>
      </c>
      <c r="D2">
        <f t="shared" ref="D2:G21" si="0">$C2*D$1</f>
        <v>15.674000000000001</v>
      </c>
      <c r="E2">
        <f t="shared" si="0"/>
        <v>31.348000000000003</v>
      </c>
      <c r="F2">
        <f t="shared" si="0"/>
        <v>62.696000000000005</v>
      </c>
      <c r="G2">
        <f t="shared" si="0"/>
        <v>94.043999999999997</v>
      </c>
      <c r="H2" t="str">
        <f>IF(Table3[[#This Row],[Sales Amount]]&gt;500,"Large Order",  "Standard Order")</f>
        <v>Standard Order</v>
      </c>
      <c r="I2" t="str">
        <f>IF(AND(Table3[[#This Row],[Sales Amount]]&gt;750,DATA_CLEANING!H3&gt;5), "GREAT ORDER", "LOW ORDER")</f>
        <v>LOW ORDER</v>
      </c>
      <c r="L2" t="str">
        <f>DATA_CLEANING!C2</f>
        <v>Customer ID</v>
      </c>
      <c r="U2" s="20" t="s">
        <v>683</v>
      </c>
      <c r="W2" s="23">
        <v>1000</v>
      </c>
      <c r="X2" s="24">
        <v>0.05</v>
      </c>
    </row>
    <row r="3" spans="2:24" x14ac:dyDescent="0.25">
      <c r="C3">
        <f>DATA_CLEANING!J4</f>
        <v>78.38</v>
      </c>
      <c r="D3">
        <f t="shared" si="0"/>
        <v>3.919</v>
      </c>
      <c r="E3">
        <f t="shared" si="0"/>
        <v>7.8380000000000001</v>
      </c>
      <c r="F3">
        <f t="shared" si="0"/>
        <v>15.676</v>
      </c>
      <c r="G3">
        <f t="shared" si="0"/>
        <v>23.513999999999999</v>
      </c>
      <c r="H3" t="str">
        <f>IF(Table3[[#This Row],[Sales Amount]]&gt;500,"Large Order",  "Standard Order")</f>
        <v>Standard Order</v>
      </c>
      <c r="I3" t="str">
        <f>IF(AND(Table3[[#This Row],[Sales Amount]]&gt;750,DATA_CLEANING!H4&gt;5), "GREAT ORDER", "LOW ORDER")</f>
        <v>LOW ORDER</v>
      </c>
      <c r="K3" s="26">
        <f>DATA_CLEANING!H3</f>
        <v>4</v>
      </c>
      <c r="L3" t="str">
        <f>DATA_CLEANING!C3</f>
        <v>CUST-106</v>
      </c>
      <c r="U3" s="5">
        <f>VALUE(DATA_CLEANING!J3)*
IF(VALUE(DATA_CLEANING!J3)&gt;=6000,30%,
IF(VALUE(DATA_CLEANING!J3)&gt;=5000,20%,
IF(VALUE(DATA_CLEANING!J3)&gt;=3000,10%,
IF(VALUE(DATA_CLEANING!J3)&gt;=1000,5%,0))))</f>
        <v>0</v>
      </c>
      <c r="W3" s="23">
        <v>3000</v>
      </c>
      <c r="X3" s="24">
        <v>0.1</v>
      </c>
    </row>
    <row r="4" spans="2:24" x14ac:dyDescent="0.25">
      <c r="C4">
        <f>DATA_CLEANING!J5</f>
        <v>1443.4</v>
      </c>
      <c r="D4">
        <f t="shared" si="0"/>
        <v>72.17</v>
      </c>
      <c r="E4">
        <f t="shared" si="0"/>
        <v>144.34</v>
      </c>
      <c r="F4">
        <f t="shared" si="0"/>
        <v>288.68</v>
      </c>
      <c r="G4">
        <f t="shared" si="0"/>
        <v>433.02000000000004</v>
      </c>
      <c r="H4" t="str">
        <f>IF(Table3[[#This Row],[Sales Amount]]&gt;500,"Large Order",  "Standard Order")</f>
        <v>Large Order</v>
      </c>
      <c r="I4" t="str">
        <f>IF(AND(Table3[[#This Row],[Sales Amount]]&gt;750,DATA_CLEANING!H5&gt;5), "GREAT ORDER", "LOW ORDER")</f>
        <v>LOW ORDER</v>
      </c>
      <c r="K4" s="26">
        <f>DATA_CLEANING!H4</f>
        <v>1</v>
      </c>
      <c r="L4" t="str">
        <f>DATA_CLEANING!C4</f>
        <v>CUST-107</v>
      </c>
      <c r="U4" s="5">
        <f>VALUE(DATA_CLEANING!J4)*
IF(VALUE(DATA_CLEANING!J4)&gt;=6000,30%,
IF(VALUE(DATA_CLEANING!J4)&gt;=5000,20%,
IF(VALUE(DATA_CLEANING!J4)&gt;=3000,10%,
IF(VALUE(DATA_CLEANING!J4)&gt;=1000,5%,0))))</f>
        <v>0</v>
      </c>
      <c r="W4" s="23">
        <v>5000</v>
      </c>
      <c r="X4" s="24">
        <v>0.2</v>
      </c>
    </row>
    <row r="5" spans="2:24" x14ac:dyDescent="0.25">
      <c r="C5">
        <f>DATA_CLEANING!J6</f>
        <v>2033.1</v>
      </c>
      <c r="D5">
        <f t="shared" si="0"/>
        <v>101.655</v>
      </c>
      <c r="E5">
        <f t="shared" si="0"/>
        <v>203.31</v>
      </c>
      <c r="F5">
        <f t="shared" si="0"/>
        <v>406.62</v>
      </c>
      <c r="G5">
        <f t="shared" si="0"/>
        <v>609.92999999999995</v>
      </c>
      <c r="H5" t="str">
        <f>IF(Table3[[#This Row],[Sales Amount]]&gt;500,"Large Order",  "Standard Order")</f>
        <v>Large Order</v>
      </c>
      <c r="I5" t="str">
        <f>IF(AND(Table3[[#This Row],[Sales Amount]]&gt;750,DATA_CLEANING!H6&gt;5), "GREAT ORDER", "LOW ORDER")</f>
        <v>LOW ORDER</v>
      </c>
      <c r="K5" s="26">
        <f>DATA_CLEANING!H5</f>
        <v>4</v>
      </c>
      <c r="L5" t="str">
        <f>DATA_CLEANING!C5</f>
        <v>CUST-108</v>
      </c>
      <c r="U5" s="5">
        <f>VALUE(DATA_CLEANING!J5)*
IF(VALUE(DATA_CLEANING!J5)&gt;=6000,30%,
IF(VALUE(DATA_CLEANING!J5)&gt;=5000,20%,
IF(VALUE(DATA_CLEANING!J5)&gt;=3000,10%,
IF(VALUE(DATA_CLEANING!J5)&gt;=1000,5%,0))))</f>
        <v>72.17</v>
      </c>
      <c r="W5" s="23">
        <v>6000</v>
      </c>
      <c r="X5" s="24">
        <v>0.3</v>
      </c>
    </row>
    <row r="6" spans="2:24" x14ac:dyDescent="0.25">
      <c r="C6">
        <f>DATA_CLEANING!J7</f>
        <v>1916.12</v>
      </c>
      <c r="D6">
        <f t="shared" si="0"/>
        <v>95.805999999999997</v>
      </c>
      <c r="E6">
        <f t="shared" si="0"/>
        <v>191.61199999999999</v>
      </c>
      <c r="F6">
        <f t="shared" si="0"/>
        <v>383.22399999999999</v>
      </c>
      <c r="G6">
        <f t="shared" si="0"/>
        <v>574.8359999999999</v>
      </c>
      <c r="H6" t="str">
        <f>IF(Table3[[#This Row],[Sales Amount]]&gt;500,"Large Order",  "Standard Order")</f>
        <v>Large Order</v>
      </c>
      <c r="I6" t="str">
        <f>IF(AND(Table3[[#This Row],[Sales Amount]]&gt;750,DATA_CLEANING!H7&gt;5), "GREAT ORDER", "LOW ORDER")</f>
        <v>LOW ORDER</v>
      </c>
      <c r="K6" s="26">
        <f>DATA_CLEANING!H6</f>
        <v>5</v>
      </c>
      <c r="L6" t="str">
        <f>DATA_CLEANING!C6</f>
        <v>CUST-109</v>
      </c>
      <c r="U6" s="5">
        <f>VALUE(DATA_CLEANING!J6)*
IF(VALUE(DATA_CLEANING!J6)&gt;=6000,30%,
IF(VALUE(DATA_CLEANING!J6)&gt;=5000,20%,
IF(VALUE(DATA_CLEANING!J6)&gt;=3000,10%,
IF(VALUE(DATA_CLEANING!J6)&gt;=1000,5%,0))))</f>
        <v>101.655</v>
      </c>
    </row>
    <row r="7" spans="2:24" x14ac:dyDescent="0.25">
      <c r="C7">
        <f>DATA_CLEANING!J8</f>
        <v>2499.56</v>
      </c>
      <c r="D7">
        <f t="shared" si="0"/>
        <v>124.97800000000001</v>
      </c>
      <c r="E7">
        <f t="shared" si="0"/>
        <v>249.95600000000002</v>
      </c>
      <c r="F7">
        <f t="shared" si="0"/>
        <v>499.91200000000003</v>
      </c>
      <c r="G7">
        <f t="shared" si="0"/>
        <v>749.86799999999994</v>
      </c>
      <c r="H7" t="str">
        <f>IF(Table3[[#This Row],[Sales Amount]]&gt;500,"Large Order",  "Standard Order")</f>
        <v>Large Order</v>
      </c>
      <c r="I7" t="str">
        <f>IF(AND(Table3[[#This Row],[Sales Amount]]&gt;750,DATA_CLEANING!H8&gt;5), "GREAT ORDER", "LOW ORDER")</f>
        <v>GREAT ORDER</v>
      </c>
      <c r="K7" s="26">
        <f>DATA_CLEANING!H7</f>
        <v>4</v>
      </c>
      <c r="L7" t="str">
        <f>DATA_CLEANING!C7</f>
        <v>CUST-110</v>
      </c>
      <c r="U7" s="5">
        <f>VALUE(DATA_CLEANING!J7)*
IF(VALUE(DATA_CLEANING!J7)&gt;=6000,30%,
IF(VALUE(DATA_CLEANING!J7)&gt;=5000,20%,
IF(VALUE(DATA_CLEANING!J7)&gt;=3000,10%,
IF(VALUE(DATA_CLEANING!J7)&gt;=1000,5%,0))))</f>
        <v>95.805999999999997</v>
      </c>
    </row>
    <row r="8" spans="2:24" x14ac:dyDescent="0.25">
      <c r="C8">
        <f>DATA_CLEANING!J9</f>
        <v>561</v>
      </c>
      <c r="D8">
        <f t="shared" si="0"/>
        <v>28.05</v>
      </c>
      <c r="E8">
        <f t="shared" si="0"/>
        <v>56.1</v>
      </c>
      <c r="F8">
        <f t="shared" si="0"/>
        <v>112.2</v>
      </c>
      <c r="G8">
        <f t="shared" si="0"/>
        <v>168.29999999999998</v>
      </c>
      <c r="H8" t="str">
        <f>IF(Table3[[#This Row],[Sales Amount]]&gt;500,"Large Order",  "Standard Order")</f>
        <v>Large Order</v>
      </c>
      <c r="I8" t="str">
        <f>IF(AND(Table3[[#This Row],[Sales Amount]]&gt;750,DATA_CLEANING!H9&gt;5), "GREAT ORDER", "LOW ORDER")</f>
        <v>LOW ORDER</v>
      </c>
      <c r="K8" s="26">
        <f>DATA_CLEANING!H8</f>
        <v>14</v>
      </c>
      <c r="L8" t="str">
        <f>DATA_CLEANING!C8</f>
        <v>CUST-111</v>
      </c>
      <c r="U8" s="5">
        <f>VALUE(DATA_CLEANING!J8)*
IF(VALUE(DATA_CLEANING!J8)&gt;=6000,30%,
IF(VALUE(DATA_CLEANING!J8)&gt;=5000,20%,
IF(VALUE(DATA_CLEANING!J8)&gt;=3000,10%,
IF(VALUE(DATA_CLEANING!J8)&gt;=1000,5%,0))))</f>
        <v>124.97800000000001</v>
      </c>
    </row>
    <row r="9" spans="2:24" x14ac:dyDescent="0.25">
      <c r="C9">
        <f>DATA_CLEANING!J10</f>
        <v>64.900000000000006</v>
      </c>
      <c r="D9">
        <f t="shared" si="0"/>
        <v>3.2450000000000006</v>
      </c>
      <c r="E9">
        <f t="shared" si="0"/>
        <v>6.4900000000000011</v>
      </c>
      <c r="F9">
        <f t="shared" si="0"/>
        <v>12.980000000000002</v>
      </c>
      <c r="G9">
        <f t="shared" si="0"/>
        <v>19.470000000000002</v>
      </c>
      <c r="H9" t="str">
        <f>IF(Table3[[#This Row],[Sales Amount]]&gt;500,"Large Order",  "Standard Order")</f>
        <v>Standard Order</v>
      </c>
      <c r="I9" t="str">
        <f>IF(AND(Table3[[#This Row],[Sales Amount]]&gt;750,DATA_CLEANING!H10&gt;5), "GREAT ORDER", "LOW ORDER")</f>
        <v>LOW ORDER</v>
      </c>
      <c r="K9" s="26">
        <f>DATA_CLEANING!H9</f>
        <v>2</v>
      </c>
      <c r="L9" t="str">
        <f>DATA_CLEANING!C9</f>
        <v>CUST-112</v>
      </c>
      <c r="U9" s="5">
        <f>VALUE(DATA_CLEANING!J9)*
IF(VALUE(DATA_CLEANING!J9)&gt;=6000,30%,
IF(VALUE(DATA_CLEANING!J9)&gt;=5000,20%,
IF(VALUE(DATA_CLEANING!J9)&gt;=3000,10%,
IF(VALUE(DATA_CLEANING!J9)&gt;=1000,5%,0))))</f>
        <v>0</v>
      </c>
    </row>
    <row r="10" spans="2:24" x14ac:dyDescent="0.25">
      <c r="C10">
        <f>DATA_CLEANING!J11</f>
        <v>1160.8499999999999</v>
      </c>
      <c r="D10">
        <f t="shared" si="0"/>
        <v>58.042499999999997</v>
      </c>
      <c r="E10">
        <f t="shared" si="0"/>
        <v>116.08499999999999</v>
      </c>
      <c r="F10">
        <f t="shared" si="0"/>
        <v>232.17</v>
      </c>
      <c r="G10">
        <f t="shared" si="0"/>
        <v>348.25499999999994</v>
      </c>
      <c r="H10" t="str">
        <f>IF(Table3[[#This Row],[Sales Amount]]&gt;500,"Large Order",  "Standard Order")</f>
        <v>Large Order</v>
      </c>
      <c r="I10" t="str">
        <f>IF(AND(Table3[[#This Row],[Sales Amount]]&gt;750,DATA_CLEANING!H11&gt;5), "GREAT ORDER", "LOW ORDER")</f>
        <v>LOW ORDER</v>
      </c>
      <c r="K10" s="26">
        <f>DATA_CLEANING!H10</f>
        <v>2</v>
      </c>
      <c r="L10" t="str">
        <f>DATA_CLEANING!C10</f>
        <v>CUST-113</v>
      </c>
      <c r="U10" s="5">
        <f>VALUE(DATA_CLEANING!J10)*
IF(VALUE(DATA_CLEANING!J10)&gt;=6000,30%,
IF(VALUE(DATA_CLEANING!J10)&gt;=5000,20%,
IF(VALUE(DATA_CLEANING!J10)&gt;=3000,10%,
IF(VALUE(DATA_CLEANING!J10)&gt;=1000,5%,0))))</f>
        <v>0</v>
      </c>
    </row>
    <row r="11" spans="2:24" x14ac:dyDescent="0.25">
      <c r="C11">
        <f>DATA_CLEANING!J12</f>
        <v>1769.4499999999998</v>
      </c>
      <c r="D11">
        <f t="shared" si="0"/>
        <v>88.472499999999997</v>
      </c>
      <c r="E11">
        <f t="shared" si="0"/>
        <v>176.94499999999999</v>
      </c>
      <c r="F11">
        <f t="shared" si="0"/>
        <v>353.89</v>
      </c>
      <c r="G11">
        <f t="shared" si="0"/>
        <v>530.83499999999992</v>
      </c>
      <c r="H11" t="str">
        <f>IF(Table3[[#This Row],[Sales Amount]]&gt;500,"Large Order",  "Standard Order")</f>
        <v>Large Order</v>
      </c>
      <c r="I11" t="str">
        <f>IF(AND(Table3[[#This Row],[Sales Amount]]&gt;750,DATA_CLEANING!H12&gt;5), "GREAT ORDER", "LOW ORDER")</f>
        <v>LOW ORDER</v>
      </c>
      <c r="K11" s="26">
        <f>DATA_CLEANING!H11</f>
        <v>5</v>
      </c>
      <c r="L11" t="str">
        <f>DATA_CLEANING!C11</f>
        <v>CUST-114</v>
      </c>
      <c r="U11" s="5">
        <f>VALUE(DATA_CLEANING!J11)*
IF(VALUE(DATA_CLEANING!J11)&gt;=6000,30%,
IF(VALUE(DATA_CLEANING!J11)&gt;=5000,20%,
IF(VALUE(DATA_CLEANING!J11)&gt;=3000,10%,
IF(VALUE(DATA_CLEANING!J11)&gt;=1000,5%,0))))</f>
        <v>58.042499999999997</v>
      </c>
    </row>
    <row r="12" spans="2:24" x14ac:dyDescent="0.25">
      <c r="C12">
        <f>DATA_CLEANING!J13</f>
        <v>1559.52</v>
      </c>
      <c r="D12">
        <f t="shared" si="0"/>
        <v>77.975999999999999</v>
      </c>
      <c r="E12">
        <f t="shared" si="0"/>
        <v>155.952</v>
      </c>
      <c r="F12">
        <f t="shared" si="0"/>
        <v>311.904</v>
      </c>
      <c r="G12">
        <f t="shared" si="0"/>
        <v>467.85599999999999</v>
      </c>
      <c r="H12" t="str">
        <f>IF(Table3[[#This Row],[Sales Amount]]&gt;500,"Large Order",  "Standard Order")</f>
        <v>Large Order</v>
      </c>
      <c r="I12" t="str">
        <f>IF(AND(Table3[[#This Row],[Sales Amount]]&gt;750,DATA_CLEANING!H13&gt;5), "GREAT ORDER", "LOW ORDER")</f>
        <v>GREAT ORDER</v>
      </c>
      <c r="K12" s="26">
        <f>DATA_CLEANING!H12</f>
        <v>5</v>
      </c>
      <c r="L12" t="str">
        <f>DATA_CLEANING!C12</f>
        <v>CUST-115</v>
      </c>
      <c r="U12" s="5">
        <f>VALUE(DATA_CLEANING!J12)*
IF(VALUE(DATA_CLEANING!J12)&gt;=6000,30%,
IF(VALUE(DATA_CLEANING!J12)&gt;=5000,20%,
IF(VALUE(DATA_CLEANING!J12)&gt;=3000,10%,
IF(VALUE(DATA_CLEANING!J12)&gt;=1000,5%,0))))</f>
        <v>88.472499999999997</v>
      </c>
    </row>
    <row r="13" spans="2:24" x14ac:dyDescent="0.25">
      <c r="C13">
        <f>DATA_CLEANING!J14</f>
        <v>2538</v>
      </c>
      <c r="D13">
        <f t="shared" si="0"/>
        <v>126.9</v>
      </c>
      <c r="E13">
        <f t="shared" si="0"/>
        <v>253.8</v>
      </c>
      <c r="F13">
        <f t="shared" si="0"/>
        <v>507.6</v>
      </c>
      <c r="G13">
        <f t="shared" si="0"/>
        <v>761.4</v>
      </c>
      <c r="H13" t="str">
        <f>IF(Table3[[#This Row],[Sales Amount]]&gt;500,"Large Order",  "Standard Order")</f>
        <v>Large Order</v>
      </c>
      <c r="I13" t="str">
        <f>IF(AND(Table3[[#This Row],[Sales Amount]]&gt;750,DATA_CLEANING!H14&gt;5), "GREAT ORDER", "LOW ORDER")</f>
        <v>GREAT ORDER</v>
      </c>
      <c r="K13" s="26">
        <f>DATA_CLEANING!H13</f>
        <v>12</v>
      </c>
      <c r="L13" t="str">
        <f>DATA_CLEANING!C13</f>
        <v>CUST-116</v>
      </c>
      <c r="U13" s="5">
        <f>VALUE(DATA_CLEANING!J13)*
IF(VALUE(DATA_CLEANING!J13)&gt;=6000,30%,
IF(VALUE(DATA_CLEANING!J13)&gt;=5000,20%,
IF(VALUE(DATA_CLEANING!J13)&gt;=3000,10%,
IF(VALUE(DATA_CLEANING!J13)&gt;=1000,5%,0))))</f>
        <v>77.975999999999999</v>
      </c>
    </row>
    <row r="14" spans="2:24" x14ac:dyDescent="0.25">
      <c r="C14">
        <f>DATA_CLEANING!J15</f>
        <v>212.15</v>
      </c>
      <c r="D14">
        <f t="shared" si="0"/>
        <v>10.607500000000002</v>
      </c>
      <c r="E14">
        <f t="shared" si="0"/>
        <v>21.215000000000003</v>
      </c>
      <c r="F14">
        <f t="shared" si="0"/>
        <v>42.430000000000007</v>
      </c>
      <c r="G14">
        <f t="shared" si="0"/>
        <v>63.644999999999996</v>
      </c>
      <c r="H14" t="str">
        <f>IF(Table3[[#This Row],[Sales Amount]]&gt;500,"Large Order",  "Standard Order")</f>
        <v>Standard Order</v>
      </c>
      <c r="I14" t="str">
        <f>IF(AND(Table3[[#This Row],[Sales Amount]]&gt;750,DATA_CLEANING!H15&gt;5), "GREAT ORDER", "LOW ORDER")</f>
        <v>LOW ORDER</v>
      </c>
      <c r="K14" s="26">
        <f>DATA_CLEANING!H14</f>
        <v>6</v>
      </c>
      <c r="L14" t="str">
        <f>DATA_CLEANING!C14</f>
        <v>CUST-117</v>
      </c>
      <c r="U14" s="5">
        <f>VALUE(DATA_CLEANING!J14)*
IF(VALUE(DATA_CLEANING!J14)&gt;=6000,30%,
IF(VALUE(DATA_CLEANING!J14)&gt;=5000,20%,
IF(VALUE(DATA_CLEANING!J14)&gt;=3000,10%,
IF(VALUE(DATA_CLEANING!J14)&gt;=1000,5%,0))))</f>
        <v>126.9</v>
      </c>
    </row>
    <row r="15" spans="2:24" x14ac:dyDescent="0.25">
      <c r="C15">
        <f>DATA_CLEANING!J16</f>
        <v>640.08000000000004</v>
      </c>
      <c r="D15">
        <f t="shared" si="0"/>
        <v>32.004000000000005</v>
      </c>
      <c r="E15">
        <f t="shared" si="0"/>
        <v>64.00800000000001</v>
      </c>
      <c r="F15">
        <f t="shared" si="0"/>
        <v>128.01600000000002</v>
      </c>
      <c r="G15">
        <f t="shared" si="0"/>
        <v>192.024</v>
      </c>
      <c r="H15" t="str">
        <f>IF(Table3[[#This Row],[Sales Amount]]&gt;500,"Large Order",  "Standard Order")</f>
        <v>Large Order</v>
      </c>
      <c r="I15" t="str">
        <f>IF(AND(Table3[[#This Row],[Sales Amount]]&gt;750,DATA_CLEANING!H16&gt;5), "GREAT ORDER", "LOW ORDER")</f>
        <v>LOW ORDER</v>
      </c>
      <c r="K15" s="26">
        <f>DATA_CLEANING!H15</f>
        <v>5</v>
      </c>
      <c r="L15" t="str">
        <f>DATA_CLEANING!C15</f>
        <v>CUST-118</v>
      </c>
      <c r="U15" s="5">
        <f>VALUE(DATA_CLEANING!J15)*
IF(VALUE(DATA_CLEANING!J15)&gt;=6000,30%,
IF(VALUE(DATA_CLEANING!J15)&gt;=5000,20%,
IF(VALUE(DATA_CLEANING!J15)&gt;=3000,10%,
IF(VALUE(DATA_CLEANING!J15)&gt;=1000,5%,0))))</f>
        <v>0</v>
      </c>
    </row>
    <row r="16" spans="2:24" x14ac:dyDescent="0.25">
      <c r="C16">
        <f>DATA_CLEANING!J17</f>
        <v>2199.3000000000002</v>
      </c>
      <c r="D16">
        <f t="shared" si="0"/>
        <v>109.96500000000002</v>
      </c>
      <c r="E16">
        <f t="shared" si="0"/>
        <v>219.93000000000004</v>
      </c>
      <c r="F16">
        <f t="shared" si="0"/>
        <v>439.86000000000007</v>
      </c>
      <c r="G16">
        <f t="shared" si="0"/>
        <v>659.79000000000008</v>
      </c>
      <c r="H16" t="str">
        <f>IF(Table3[[#This Row],[Sales Amount]]&gt;500,"Large Order",  "Standard Order")</f>
        <v>Large Order</v>
      </c>
      <c r="I16" t="str">
        <f>IF(AND(Table3[[#This Row],[Sales Amount]]&gt;750,DATA_CLEANING!H17&gt;5), "GREAT ORDER", "LOW ORDER")</f>
        <v>GREAT ORDER</v>
      </c>
      <c r="K16" s="26">
        <f>DATA_CLEANING!H16</f>
        <v>8</v>
      </c>
      <c r="L16" t="str">
        <f>DATA_CLEANING!C16</f>
        <v>CUST-119</v>
      </c>
      <c r="U16" s="5">
        <f>VALUE(DATA_CLEANING!J16)*
IF(VALUE(DATA_CLEANING!J16)&gt;=6000,30%,
IF(VALUE(DATA_CLEANING!J16)&gt;=5000,20%,
IF(VALUE(DATA_CLEANING!J16)&gt;=3000,10%,
IF(VALUE(DATA_CLEANING!J16)&gt;=1000,5%,0))))</f>
        <v>0</v>
      </c>
    </row>
    <row r="17" spans="3:21" x14ac:dyDescent="0.25">
      <c r="C17">
        <f>DATA_CLEANING!J18</f>
        <v>436.4</v>
      </c>
      <c r="D17">
        <f t="shared" si="0"/>
        <v>21.82</v>
      </c>
      <c r="E17">
        <f t="shared" si="0"/>
        <v>43.64</v>
      </c>
      <c r="F17">
        <f t="shared" si="0"/>
        <v>87.28</v>
      </c>
      <c r="G17">
        <f t="shared" si="0"/>
        <v>130.91999999999999</v>
      </c>
      <c r="H17" t="str">
        <f>IF(Table3[[#This Row],[Sales Amount]]&gt;500,"Large Order",  "Standard Order")</f>
        <v>Standard Order</v>
      </c>
      <c r="I17" t="str">
        <f>IF(AND(Table3[[#This Row],[Sales Amount]]&gt;750,DATA_CLEANING!H18&gt;5), "GREAT ORDER", "LOW ORDER")</f>
        <v>LOW ORDER</v>
      </c>
      <c r="K17" s="26">
        <f>DATA_CLEANING!H17</f>
        <v>10</v>
      </c>
      <c r="L17" t="str">
        <f>DATA_CLEANING!C17</f>
        <v>CUST-120</v>
      </c>
      <c r="U17" s="5">
        <f>VALUE(DATA_CLEANING!J17)*
IF(VALUE(DATA_CLEANING!J17)&gt;=6000,30%,
IF(VALUE(DATA_CLEANING!J17)&gt;=5000,20%,
IF(VALUE(DATA_CLEANING!J17)&gt;=3000,10%,
IF(VALUE(DATA_CLEANING!J17)&gt;=1000,5%,0))))</f>
        <v>109.96500000000002</v>
      </c>
    </row>
    <row r="18" spans="3:21" x14ac:dyDescent="0.25">
      <c r="C18">
        <f>DATA_CLEANING!J19</f>
        <v>397.08</v>
      </c>
      <c r="D18">
        <f t="shared" si="0"/>
        <v>19.853999999999999</v>
      </c>
      <c r="E18">
        <f t="shared" si="0"/>
        <v>39.707999999999998</v>
      </c>
      <c r="F18">
        <f t="shared" si="0"/>
        <v>79.415999999999997</v>
      </c>
      <c r="G18">
        <f t="shared" si="0"/>
        <v>119.124</v>
      </c>
      <c r="H18" t="str">
        <f>IF(Table3[[#This Row],[Sales Amount]]&gt;500,"Large Order",  "Standard Order")</f>
        <v>Standard Order</v>
      </c>
      <c r="I18" t="str">
        <f>IF(AND(Table3[[#This Row],[Sales Amount]]&gt;750,DATA_CLEANING!H19&gt;5), "GREAT ORDER", "LOW ORDER")</f>
        <v>LOW ORDER</v>
      </c>
      <c r="K18" s="26">
        <f>DATA_CLEANING!H18</f>
        <v>8</v>
      </c>
      <c r="L18" t="str">
        <f>DATA_CLEANING!C18</f>
        <v>CUST-121</v>
      </c>
      <c r="U18" s="5">
        <f>VALUE(DATA_CLEANING!J18)*
IF(VALUE(DATA_CLEANING!J18)&gt;=6000,30%,
IF(VALUE(DATA_CLEANING!J18)&gt;=5000,20%,
IF(VALUE(DATA_CLEANING!J18)&gt;=3000,10%,
IF(VALUE(DATA_CLEANING!J18)&gt;=1000,5%,0))))</f>
        <v>0</v>
      </c>
    </row>
    <row r="19" spans="3:21" x14ac:dyDescent="0.25">
      <c r="C19">
        <f>DATA_CLEANING!J20</f>
        <v>3994.6499999999996</v>
      </c>
      <c r="D19">
        <f t="shared" si="0"/>
        <v>199.73249999999999</v>
      </c>
      <c r="E19">
        <f t="shared" si="0"/>
        <v>399.46499999999997</v>
      </c>
      <c r="F19">
        <f t="shared" si="0"/>
        <v>798.93</v>
      </c>
      <c r="G19">
        <f t="shared" si="0"/>
        <v>1198.3949999999998</v>
      </c>
      <c r="H19" t="str">
        <f>IF(Table3[[#This Row],[Sales Amount]]&gt;500,"Large Order",  "Standard Order")</f>
        <v>Large Order</v>
      </c>
      <c r="I19" t="str">
        <f>IF(AND(Table3[[#This Row],[Sales Amount]]&gt;750,DATA_CLEANING!H20&gt;5), "GREAT ORDER", "LOW ORDER")</f>
        <v>GREAT ORDER</v>
      </c>
      <c r="K19" s="26">
        <f>DATA_CLEANING!H19</f>
        <v>2</v>
      </c>
      <c r="L19" t="str">
        <f>DATA_CLEANING!C19</f>
        <v>CUST-122</v>
      </c>
      <c r="U19" s="5">
        <f>VALUE(DATA_CLEANING!J19)*
IF(VALUE(DATA_CLEANING!J19)&gt;=6000,30%,
IF(VALUE(DATA_CLEANING!J19)&gt;=5000,20%,
IF(VALUE(DATA_CLEANING!J19)&gt;=3000,10%,
IF(VALUE(DATA_CLEANING!J19)&gt;=1000,5%,0))))</f>
        <v>0</v>
      </c>
    </row>
    <row r="20" spans="3:21" x14ac:dyDescent="0.25">
      <c r="C20">
        <f>DATA_CLEANING!J21</f>
        <v>612.5</v>
      </c>
      <c r="D20">
        <f t="shared" si="0"/>
        <v>30.625</v>
      </c>
      <c r="E20">
        <f t="shared" si="0"/>
        <v>61.25</v>
      </c>
      <c r="F20">
        <f t="shared" si="0"/>
        <v>122.5</v>
      </c>
      <c r="G20">
        <f t="shared" si="0"/>
        <v>183.75</v>
      </c>
      <c r="H20" t="str">
        <f>IF(Table3[[#This Row],[Sales Amount]]&gt;500,"Large Order",  "Standard Order")</f>
        <v>Large Order</v>
      </c>
      <c r="I20" t="str">
        <f>IF(AND(Table3[[#This Row],[Sales Amount]]&gt;750,DATA_CLEANING!H21&gt;5), "GREAT ORDER", "LOW ORDER")</f>
        <v>LOW ORDER</v>
      </c>
      <c r="K20" s="26">
        <f>DATA_CLEANING!H20</f>
        <v>11</v>
      </c>
      <c r="L20" t="str">
        <f>DATA_CLEANING!C20</f>
        <v>CUST-123</v>
      </c>
      <c r="U20" s="5">
        <f>VALUE(DATA_CLEANING!J20)*
IF(VALUE(DATA_CLEANING!J20)&gt;=6000,30%,
IF(VALUE(DATA_CLEANING!J20)&gt;=5000,20%,
IF(VALUE(DATA_CLEANING!J20)&gt;=3000,10%,
IF(VALUE(DATA_CLEANING!J20)&gt;=1000,5%,0))))</f>
        <v>399.46499999999997</v>
      </c>
    </row>
    <row r="21" spans="3:21" x14ac:dyDescent="0.25">
      <c r="C21">
        <f>DATA_CLEANING!J22</f>
        <v>4429.5999999999995</v>
      </c>
      <c r="D21">
        <f t="shared" si="0"/>
        <v>221.48</v>
      </c>
      <c r="E21">
        <f t="shared" si="0"/>
        <v>442.96</v>
      </c>
      <c r="F21">
        <f t="shared" si="0"/>
        <v>885.92</v>
      </c>
      <c r="G21">
        <f t="shared" si="0"/>
        <v>1328.8799999999999</v>
      </c>
      <c r="H21" t="str">
        <f>IF(Table3[[#This Row],[Sales Amount]]&gt;500,"Large Order",  "Standard Order")</f>
        <v>Large Order</v>
      </c>
      <c r="I21" t="str">
        <f>IF(AND(Table3[[#This Row],[Sales Amount]]&gt;750,DATA_CLEANING!H22&gt;5), "GREAT ORDER", "LOW ORDER")</f>
        <v>GREAT ORDER</v>
      </c>
      <c r="K21" s="26">
        <f>DATA_CLEANING!H21</f>
        <v>7</v>
      </c>
      <c r="L21" t="str">
        <f>DATA_CLEANING!C21</f>
        <v>CUST-124</v>
      </c>
      <c r="U21" s="5">
        <f>VALUE(DATA_CLEANING!J21)*
IF(VALUE(DATA_CLEANING!J21)&gt;=6000,30%,
IF(VALUE(DATA_CLEANING!J21)&gt;=5000,20%,
IF(VALUE(DATA_CLEANING!J21)&gt;=3000,10%,
IF(VALUE(DATA_CLEANING!J21)&gt;=1000,5%,0))))</f>
        <v>0</v>
      </c>
    </row>
    <row r="22" spans="3:21" x14ac:dyDescent="0.25">
      <c r="C22">
        <f>DATA_CLEANING!J23</f>
        <v>1159.08</v>
      </c>
      <c r="D22">
        <f t="shared" ref="D22:G41" si="1">$C22*D$1</f>
        <v>57.954000000000001</v>
      </c>
      <c r="E22">
        <f t="shared" si="1"/>
        <v>115.908</v>
      </c>
      <c r="F22">
        <f t="shared" si="1"/>
        <v>231.816</v>
      </c>
      <c r="G22">
        <f t="shared" si="1"/>
        <v>347.72399999999999</v>
      </c>
      <c r="H22" t="str">
        <f>IF(Table3[[#This Row],[Sales Amount]]&gt;500,"Large Order",  "Standard Order")</f>
        <v>Large Order</v>
      </c>
      <c r="I22" t="str">
        <f>IF(AND(Table3[[#This Row],[Sales Amount]]&gt;750,DATA_CLEANING!H23&gt;5), "GREAT ORDER", "LOW ORDER")</f>
        <v>GREAT ORDER</v>
      </c>
      <c r="K22" s="26">
        <f>DATA_CLEANING!H22</f>
        <v>14</v>
      </c>
      <c r="L22" t="str">
        <f>DATA_CLEANING!C22</f>
        <v>CUST-125</v>
      </c>
      <c r="U22" s="5">
        <f>VALUE(DATA_CLEANING!J22)*
IF(VALUE(DATA_CLEANING!J22)&gt;=6000,30%,
IF(VALUE(DATA_CLEANING!J22)&gt;=5000,20%,
IF(VALUE(DATA_CLEANING!J22)&gt;=3000,10%,
IF(VALUE(DATA_CLEANING!J22)&gt;=1000,5%,0))))</f>
        <v>442.96</v>
      </c>
    </row>
    <row r="23" spans="3:21" x14ac:dyDescent="0.25">
      <c r="C23">
        <f>DATA_CLEANING!J24</f>
        <v>64.819999999999993</v>
      </c>
      <c r="D23">
        <f t="shared" si="1"/>
        <v>3.2409999999999997</v>
      </c>
      <c r="E23">
        <f t="shared" si="1"/>
        <v>6.4819999999999993</v>
      </c>
      <c r="F23">
        <f t="shared" si="1"/>
        <v>12.963999999999999</v>
      </c>
      <c r="G23">
        <f t="shared" si="1"/>
        <v>19.445999999999998</v>
      </c>
      <c r="H23" t="str">
        <f>IF(Table3[[#This Row],[Sales Amount]]&gt;500,"Large Order",  "Standard Order")</f>
        <v>Standard Order</v>
      </c>
      <c r="I23" t="str">
        <f>IF(AND(Table3[[#This Row],[Sales Amount]]&gt;750,DATA_CLEANING!H24&gt;5), "GREAT ORDER", "LOW ORDER")</f>
        <v>LOW ORDER</v>
      </c>
      <c r="K23" s="26">
        <f>DATA_CLEANING!H23</f>
        <v>13</v>
      </c>
      <c r="L23" t="str">
        <f>DATA_CLEANING!C23</f>
        <v>CUST-126</v>
      </c>
      <c r="U23" s="5">
        <f>VALUE(DATA_CLEANING!J23)*
IF(VALUE(DATA_CLEANING!J23)&gt;=6000,30%,
IF(VALUE(DATA_CLEANING!J23)&gt;=5000,20%,
IF(VALUE(DATA_CLEANING!J23)&gt;=3000,10%,
IF(VALUE(DATA_CLEANING!J23)&gt;=1000,5%,0))))</f>
        <v>57.954000000000001</v>
      </c>
    </row>
    <row r="24" spans="3:21" x14ac:dyDescent="0.25">
      <c r="C24">
        <f>DATA_CLEANING!J25</f>
        <v>103.94</v>
      </c>
      <c r="D24">
        <f t="shared" si="1"/>
        <v>5.1970000000000001</v>
      </c>
      <c r="E24">
        <f t="shared" si="1"/>
        <v>10.394</v>
      </c>
      <c r="F24">
        <f t="shared" si="1"/>
        <v>20.788</v>
      </c>
      <c r="G24">
        <f t="shared" si="1"/>
        <v>31.181999999999999</v>
      </c>
      <c r="H24" t="str">
        <f>IF(Table3[[#This Row],[Sales Amount]]&gt;500,"Large Order",  "Standard Order")</f>
        <v>Standard Order</v>
      </c>
      <c r="I24" t="str">
        <f>IF(AND(Table3[[#This Row],[Sales Amount]]&gt;750,DATA_CLEANING!H25&gt;5), "GREAT ORDER", "LOW ORDER")</f>
        <v>LOW ORDER</v>
      </c>
      <c r="K24" s="26">
        <f>DATA_CLEANING!H24</f>
        <v>1</v>
      </c>
      <c r="L24" t="str">
        <f>DATA_CLEANING!C24</f>
        <v>CUST-127</v>
      </c>
      <c r="U24" s="5">
        <f>VALUE(DATA_CLEANING!J24)*
IF(VALUE(DATA_CLEANING!J24)&gt;=6000,30%,
IF(VALUE(DATA_CLEANING!J24)&gt;=5000,20%,
IF(VALUE(DATA_CLEANING!J24)&gt;=3000,10%,
IF(VALUE(DATA_CLEANING!J24)&gt;=1000,5%,0))))</f>
        <v>0</v>
      </c>
    </row>
    <row r="25" spans="3:21" x14ac:dyDescent="0.25">
      <c r="C25">
        <f>DATA_CLEANING!J26</f>
        <v>3791.68</v>
      </c>
      <c r="D25">
        <f t="shared" si="1"/>
        <v>189.584</v>
      </c>
      <c r="E25">
        <f t="shared" si="1"/>
        <v>379.16800000000001</v>
      </c>
      <c r="F25">
        <f t="shared" si="1"/>
        <v>758.33600000000001</v>
      </c>
      <c r="G25">
        <f t="shared" si="1"/>
        <v>1137.5039999999999</v>
      </c>
      <c r="H25" t="str">
        <f>IF(Table3[[#This Row],[Sales Amount]]&gt;500,"Large Order",  "Standard Order")</f>
        <v>Large Order</v>
      </c>
      <c r="I25" t="str">
        <f>IF(AND(Table3[[#This Row],[Sales Amount]]&gt;750,DATA_CLEANING!H26&gt;5), "GREAT ORDER", "LOW ORDER")</f>
        <v>GREAT ORDER</v>
      </c>
      <c r="K25" s="26">
        <f>DATA_CLEANING!H25</f>
        <v>2</v>
      </c>
      <c r="L25" t="str">
        <f>DATA_CLEANING!C25</f>
        <v>CUST-128</v>
      </c>
      <c r="U25" s="5">
        <f>VALUE(DATA_CLEANING!J25)*
IF(VALUE(DATA_CLEANING!J25)&gt;=6000,30%,
IF(VALUE(DATA_CLEANING!J25)&gt;=5000,20%,
IF(VALUE(DATA_CLEANING!J25)&gt;=3000,10%,
IF(VALUE(DATA_CLEANING!J25)&gt;=1000,5%,0))))</f>
        <v>0</v>
      </c>
    </row>
    <row r="26" spans="3:21" x14ac:dyDescent="0.25">
      <c r="C26">
        <f>DATA_CLEANING!J27</f>
        <v>4113.8999999999996</v>
      </c>
      <c r="D26">
        <f t="shared" si="1"/>
        <v>205.69499999999999</v>
      </c>
      <c r="E26">
        <f t="shared" si="1"/>
        <v>411.39</v>
      </c>
      <c r="F26">
        <f t="shared" si="1"/>
        <v>822.78</v>
      </c>
      <c r="G26">
        <f t="shared" si="1"/>
        <v>1234.1699999999998</v>
      </c>
      <c r="H26" t="str">
        <f>IF(Table3[[#This Row],[Sales Amount]]&gt;500,"Large Order",  "Standard Order")</f>
        <v>Large Order</v>
      </c>
      <c r="I26" t="str">
        <f>IF(AND(Table3[[#This Row],[Sales Amount]]&gt;750,DATA_CLEANING!H27&gt;5), "GREAT ORDER", "LOW ORDER")</f>
        <v>GREAT ORDER</v>
      </c>
      <c r="K26" s="26">
        <f>DATA_CLEANING!H26</f>
        <v>8</v>
      </c>
      <c r="L26" t="str">
        <f>DATA_CLEANING!C26</f>
        <v>CUST-129</v>
      </c>
      <c r="U26" s="5">
        <f>VALUE(DATA_CLEANING!J26)*
IF(VALUE(DATA_CLEANING!J26)&gt;=6000,30%,
IF(VALUE(DATA_CLEANING!J26)&gt;=5000,20%,
IF(VALUE(DATA_CLEANING!J26)&gt;=3000,10%,
IF(VALUE(DATA_CLEANING!J26)&gt;=1000,5%,0))))</f>
        <v>379.16800000000001</v>
      </c>
    </row>
    <row r="27" spans="3:21" x14ac:dyDescent="0.25">
      <c r="C27">
        <f>DATA_CLEANING!J28</f>
        <v>2122.7799999999997</v>
      </c>
      <c r="D27">
        <f t="shared" si="1"/>
        <v>106.139</v>
      </c>
      <c r="E27">
        <f t="shared" si="1"/>
        <v>212.27799999999999</v>
      </c>
      <c r="F27">
        <f t="shared" si="1"/>
        <v>424.55599999999998</v>
      </c>
      <c r="G27">
        <f t="shared" si="1"/>
        <v>636.83399999999995</v>
      </c>
      <c r="H27" t="str">
        <f>IF(Table3[[#This Row],[Sales Amount]]&gt;500,"Large Order",  "Standard Order")</f>
        <v>Large Order</v>
      </c>
      <c r="I27" t="str">
        <f>IF(AND(Table3[[#This Row],[Sales Amount]]&gt;750,DATA_CLEANING!H28&gt;5), "GREAT ORDER", "LOW ORDER")</f>
        <v>GREAT ORDER</v>
      </c>
      <c r="K27" s="26">
        <f>DATA_CLEANING!H27</f>
        <v>15</v>
      </c>
      <c r="L27" t="str">
        <f>DATA_CLEANING!C27</f>
        <v>CUST-130</v>
      </c>
      <c r="U27" s="5">
        <f>VALUE(DATA_CLEANING!J27)*
IF(VALUE(DATA_CLEANING!J27)&gt;=6000,30%,
IF(VALUE(DATA_CLEANING!J27)&gt;=5000,20%,
IF(VALUE(DATA_CLEANING!J27)&gt;=3000,10%,
IF(VALUE(DATA_CLEANING!J27)&gt;=1000,5%,0))))</f>
        <v>411.39</v>
      </c>
    </row>
    <row r="28" spans="3:21" x14ac:dyDescent="0.25">
      <c r="C28">
        <f>DATA_CLEANING!J29</f>
        <v>121.85999999999999</v>
      </c>
      <c r="D28">
        <f t="shared" si="1"/>
        <v>6.093</v>
      </c>
      <c r="E28">
        <f t="shared" si="1"/>
        <v>12.186</v>
      </c>
      <c r="F28">
        <f t="shared" si="1"/>
        <v>24.372</v>
      </c>
      <c r="G28">
        <f t="shared" si="1"/>
        <v>36.557999999999993</v>
      </c>
      <c r="H28" t="str">
        <f>IF(Table3[[#This Row],[Sales Amount]]&gt;500,"Large Order",  "Standard Order")</f>
        <v>Standard Order</v>
      </c>
      <c r="I28" t="str">
        <f>IF(AND(Table3[[#This Row],[Sales Amount]]&gt;750,DATA_CLEANING!H29&gt;5), "GREAT ORDER", "LOW ORDER")</f>
        <v>LOW ORDER</v>
      </c>
      <c r="K28" s="26">
        <f>DATA_CLEANING!H28</f>
        <v>11</v>
      </c>
      <c r="L28" t="str">
        <f>DATA_CLEANING!C28</f>
        <v>CUST-131</v>
      </c>
      <c r="U28" s="5">
        <f>VALUE(DATA_CLEANING!J28)*
IF(VALUE(DATA_CLEANING!J28)&gt;=6000,30%,
IF(VALUE(DATA_CLEANING!J28)&gt;=5000,20%,
IF(VALUE(DATA_CLEANING!J28)&gt;=3000,10%,
IF(VALUE(DATA_CLEANING!J28)&gt;=1000,5%,0))))</f>
        <v>106.139</v>
      </c>
    </row>
    <row r="29" spans="3:21" x14ac:dyDescent="0.25">
      <c r="C29">
        <f>DATA_CLEANING!J30</f>
        <v>3830.88</v>
      </c>
      <c r="D29">
        <f t="shared" si="1"/>
        <v>191.54400000000001</v>
      </c>
      <c r="E29">
        <f t="shared" si="1"/>
        <v>383.08800000000002</v>
      </c>
      <c r="F29">
        <f t="shared" si="1"/>
        <v>766.17600000000004</v>
      </c>
      <c r="G29">
        <f t="shared" si="1"/>
        <v>1149.2639999999999</v>
      </c>
      <c r="H29" t="str">
        <f>IF(Table3[[#This Row],[Sales Amount]]&gt;500,"Large Order",  "Standard Order")</f>
        <v>Large Order</v>
      </c>
      <c r="I29" t="str">
        <f>IF(AND(Table3[[#This Row],[Sales Amount]]&gt;750,DATA_CLEANING!H30&gt;5), "GREAT ORDER", "LOW ORDER")</f>
        <v>GREAT ORDER</v>
      </c>
      <c r="K29" s="26">
        <f>DATA_CLEANING!H29</f>
        <v>6</v>
      </c>
      <c r="L29" t="str">
        <f>DATA_CLEANING!C29</f>
        <v>CUST-132</v>
      </c>
      <c r="U29" s="5">
        <f>VALUE(DATA_CLEANING!J29)*
IF(VALUE(DATA_CLEANING!J29)&gt;=6000,30%,
IF(VALUE(DATA_CLEANING!J29)&gt;=5000,20%,
IF(VALUE(DATA_CLEANING!J29)&gt;=3000,10%,
IF(VALUE(DATA_CLEANING!J29)&gt;=1000,5%,0))))</f>
        <v>0</v>
      </c>
    </row>
    <row r="30" spans="3:21" x14ac:dyDescent="0.25">
      <c r="C30">
        <f>DATA_CLEANING!J31</f>
        <v>585.79999999999995</v>
      </c>
      <c r="D30">
        <f t="shared" si="1"/>
        <v>29.29</v>
      </c>
      <c r="E30">
        <f t="shared" si="1"/>
        <v>58.58</v>
      </c>
      <c r="F30">
        <f t="shared" si="1"/>
        <v>117.16</v>
      </c>
      <c r="G30">
        <f t="shared" si="1"/>
        <v>175.73999999999998</v>
      </c>
      <c r="H30" t="str">
        <f>IF(Table3[[#This Row],[Sales Amount]]&gt;500,"Large Order",  "Standard Order")</f>
        <v>Large Order</v>
      </c>
      <c r="I30" t="str">
        <f>IF(AND(Table3[[#This Row],[Sales Amount]]&gt;750,DATA_CLEANING!H31&gt;5), "GREAT ORDER", "LOW ORDER")</f>
        <v>LOW ORDER</v>
      </c>
      <c r="K30" s="26">
        <f>DATA_CLEANING!H30</f>
        <v>12</v>
      </c>
      <c r="L30" t="str">
        <f>DATA_CLEANING!C30</f>
        <v>CUST-133</v>
      </c>
      <c r="U30" s="5">
        <f>VALUE(DATA_CLEANING!J30)*
IF(VALUE(DATA_CLEANING!J30)&gt;=6000,30%,
IF(VALUE(DATA_CLEANING!J30)&gt;=5000,20%,
IF(VALUE(DATA_CLEANING!J30)&gt;=3000,10%,
IF(VALUE(DATA_CLEANING!J30)&gt;=1000,5%,0))))</f>
        <v>383.08800000000002</v>
      </c>
    </row>
    <row r="31" spans="3:21" x14ac:dyDescent="0.25">
      <c r="C31">
        <f>DATA_CLEANING!J32</f>
        <v>1032.56</v>
      </c>
      <c r="D31">
        <f t="shared" si="1"/>
        <v>51.628</v>
      </c>
      <c r="E31">
        <f t="shared" si="1"/>
        <v>103.256</v>
      </c>
      <c r="F31">
        <f t="shared" si="1"/>
        <v>206.512</v>
      </c>
      <c r="G31">
        <f t="shared" si="1"/>
        <v>309.76799999999997</v>
      </c>
      <c r="H31" t="str">
        <f>IF(Table3[[#This Row],[Sales Amount]]&gt;500,"Large Order",  "Standard Order")</f>
        <v>Large Order</v>
      </c>
      <c r="I31" t="str">
        <f>IF(AND(Table3[[#This Row],[Sales Amount]]&gt;750,DATA_CLEANING!H32&gt;5), "GREAT ORDER", "LOW ORDER")</f>
        <v>GREAT ORDER</v>
      </c>
      <c r="K31" s="26">
        <f>DATA_CLEANING!H31</f>
        <v>4</v>
      </c>
      <c r="L31" t="str">
        <f>DATA_CLEANING!C31</f>
        <v>CUST-134</v>
      </c>
      <c r="U31" s="5">
        <f>VALUE(DATA_CLEANING!J31)*
IF(VALUE(DATA_CLEANING!J31)&gt;=6000,30%,
IF(VALUE(DATA_CLEANING!J31)&gt;=5000,20%,
IF(VALUE(DATA_CLEANING!J31)&gt;=3000,10%,
IF(VALUE(DATA_CLEANING!J31)&gt;=1000,5%,0))))</f>
        <v>0</v>
      </c>
    </row>
    <row r="32" spans="3:21" x14ac:dyDescent="0.25">
      <c r="C32">
        <f>DATA_CLEANING!J33</f>
        <v>1285.27</v>
      </c>
      <c r="D32">
        <f t="shared" si="1"/>
        <v>64.263500000000008</v>
      </c>
      <c r="E32">
        <f t="shared" si="1"/>
        <v>128.52700000000002</v>
      </c>
      <c r="F32">
        <f t="shared" si="1"/>
        <v>257.05400000000003</v>
      </c>
      <c r="G32">
        <f t="shared" si="1"/>
        <v>385.58099999999996</v>
      </c>
      <c r="H32" t="str">
        <f>IF(Table3[[#This Row],[Sales Amount]]&gt;500,"Large Order",  "Standard Order")</f>
        <v>Large Order</v>
      </c>
      <c r="I32" t="str">
        <f>IF(AND(Table3[[#This Row],[Sales Amount]]&gt;750,DATA_CLEANING!H33&gt;5), "GREAT ORDER", "LOW ORDER")</f>
        <v>GREAT ORDER</v>
      </c>
      <c r="K32" s="26">
        <f>DATA_CLEANING!H32</f>
        <v>8</v>
      </c>
      <c r="L32" t="str">
        <f>DATA_CLEANING!C32</f>
        <v>CUST-135</v>
      </c>
      <c r="U32" s="5">
        <f>VALUE(DATA_CLEANING!J32)*
IF(VALUE(DATA_CLEANING!J32)&gt;=6000,30%,
IF(VALUE(DATA_CLEANING!J32)&gt;=5000,20%,
IF(VALUE(DATA_CLEANING!J32)&gt;=3000,10%,
IF(VALUE(DATA_CLEANING!J32)&gt;=1000,5%,0))))</f>
        <v>51.628</v>
      </c>
    </row>
    <row r="33" spans="3:21" x14ac:dyDescent="0.25">
      <c r="C33">
        <f>DATA_CLEANING!J34</f>
        <v>2115.12</v>
      </c>
      <c r="D33">
        <f t="shared" si="1"/>
        <v>105.756</v>
      </c>
      <c r="E33">
        <f t="shared" si="1"/>
        <v>211.512</v>
      </c>
      <c r="F33">
        <f t="shared" si="1"/>
        <v>423.024</v>
      </c>
      <c r="G33">
        <f t="shared" si="1"/>
        <v>634.53599999999994</v>
      </c>
      <c r="H33" t="str">
        <f>IF(Table3[[#This Row],[Sales Amount]]&gt;500,"Large Order",  "Standard Order")</f>
        <v>Large Order</v>
      </c>
      <c r="I33" t="str">
        <f>IF(AND(Table3[[#This Row],[Sales Amount]]&gt;750,DATA_CLEANING!H34&gt;5), "GREAT ORDER", "LOW ORDER")</f>
        <v>GREAT ORDER</v>
      </c>
      <c r="K33" s="26">
        <f>DATA_CLEANING!H33</f>
        <v>7</v>
      </c>
      <c r="L33" t="str">
        <f>DATA_CLEANING!C33</f>
        <v>CUST-136</v>
      </c>
      <c r="U33" s="5">
        <f>VALUE(DATA_CLEANING!J33)*
IF(VALUE(DATA_CLEANING!J33)&gt;=6000,30%,
IF(VALUE(DATA_CLEANING!J33)&gt;=5000,20%,
IF(VALUE(DATA_CLEANING!J33)&gt;=3000,10%,
IF(VALUE(DATA_CLEANING!J33)&gt;=1000,5%,0))))</f>
        <v>64.263500000000008</v>
      </c>
    </row>
    <row r="34" spans="3:21" x14ac:dyDescent="0.25">
      <c r="C34">
        <f>DATA_CLEANING!J35</f>
        <v>650.16</v>
      </c>
      <c r="D34">
        <f t="shared" si="1"/>
        <v>32.508000000000003</v>
      </c>
      <c r="E34">
        <f t="shared" si="1"/>
        <v>65.016000000000005</v>
      </c>
      <c r="F34">
        <f t="shared" si="1"/>
        <v>130.03200000000001</v>
      </c>
      <c r="G34">
        <f t="shared" si="1"/>
        <v>195.04799999999997</v>
      </c>
      <c r="H34" t="str">
        <f>IF(Table3[[#This Row],[Sales Amount]]&gt;500,"Large Order",  "Standard Order")</f>
        <v>Large Order</v>
      </c>
      <c r="I34" t="str">
        <f>IF(AND(Table3[[#This Row],[Sales Amount]]&gt;750,DATA_CLEANING!H35&gt;5), "GREAT ORDER", "LOW ORDER")</f>
        <v>LOW ORDER</v>
      </c>
      <c r="K34" s="26">
        <f>DATA_CLEANING!H34</f>
        <v>12</v>
      </c>
      <c r="L34" t="str">
        <f>DATA_CLEANING!C34</f>
        <v>CUST-137</v>
      </c>
      <c r="U34" s="5">
        <f>VALUE(DATA_CLEANING!J34)*
IF(VALUE(DATA_CLEANING!J34)&gt;=6000,30%,
IF(VALUE(DATA_CLEANING!J34)&gt;=5000,20%,
IF(VALUE(DATA_CLEANING!J34)&gt;=3000,10%,
IF(VALUE(DATA_CLEANING!J34)&gt;=1000,5%,0))))</f>
        <v>105.756</v>
      </c>
    </row>
    <row r="35" spans="3:21" x14ac:dyDescent="0.25">
      <c r="C35">
        <f>DATA_CLEANING!J36</f>
        <v>69.58</v>
      </c>
      <c r="D35">
        <f t="shared" si="1"/>
        <v>3.4790000000000001</v>
      </c>
      <c r="E35">
        <f t="shared" si="1"/>
        <v>6.9580000000000002</v>
      </c>
      <c r="F35">
        <f t="shared" si="1"/>
        <v>13.916</v>
      </c>
      <c r="G35">
        <f t="shared" si="1"/>
        <v>20.873999999999999</v>
      </c>
      <c r="H35" t="str">
        <f>IF(Table3[[#This Row],[Sales Amount]]&gt;500,"Large Order",  "Standard Order")</f>
        <v>Standard Order</v>
      </c>
      <c r="I35" t="str">
        <f>IF(AND(Table3[[#This Row],[Sales Amount]]&gt;750,DATA_CLEANING!H36&gt;5), "GREAT ORDER", "LOW ORDER")</f>
        <v>LOW ORDER</v>
      </c>
      <c r="K35" s="26">
        <f>DATA_CLEANING!H35</f>
        <v>3</v>
      </c>
      <c r="L35" t="str">
        <f>DATA_CLEANING!C35</f>
        <v>CUST-138</v>
      </c>
      <c r="U35" s="5">
        <f>VALUE(DATA_CLEANING!J35)*
IF(VALUE(DATA_CLEANING!J35)&gt;=6000,30%,
IF(VALUE(DATA_CLEANING!J35)&gt;=5000,20%,
IF(VALUE(DATA_CLEANING!J35)&gt;=3000,10%,
IF(VALUE(DATA_CLEANING!J35)&gt;=1000,5%,0))))</f>
        <v>0</v>
      </c>
    </row>
    <row r="36" spans="3:21" x14ac:dyDescent="0.25">
      <c r="C36">
        <f>DATA_CLEANING!J37</f>
        <v>1966.96</v>
      </c>
      <c r="D36">
        <f t="shared" si="1"/>
        <v>98.348000000000013</v>
      </c>
      <c r="E36">
        <f t="shared" si="1"/>
        <v>196.69600000000003</v>
      </c>
      <c r="F36">
        <f t="shared" si="1"/>
        <v>393.39200000000005</v>
      </c>
      <c r="G36">
        <f t="shared" si="1"/>
        <v>590.08799999999997</v>
      </c>
      <c r="H36" t="str">
        <f>IF(Table3[[#This Row],[Sales Amount]]&gt;500,"Large Order",  "Standard Order")</f>
        <v>Large Order</v>
      </c>
      <c r="I36" t="str">
        <f>IF(AND(Table3[[#This Row],[Sales Amount]]&gt;750,DATA_CLEANING!H37&gt;5), "GREAT ORDER", "LOW ORDER")</f>
        <v>GREAT ORDER</v>
      </c>
      <c r="K36" s="26">
        <f>DATA_CLEANING!H36</f>
        <v>2</v>
      </c>
      <c r="L36" t="str">
        <f>DATA_CLEANING!C36</f>
        <v>CUST-139</v>
      </c>
      <c r="U36" s="5">
        <f>VALUE(DATA_CLEANING!J36)*
IF(VALUE(DATA_CLEANING!J36)&gt;=6000,30%,
IF(VALUE(DATA_CLEANING!J36)&gt;=5000,20%,
IF(VALUE(DATA_CLEANING!J36)&gt;=3000,10%,
IF(VALUE(DATA_CLEANING!J36)&gt;=1000,5%,0))))</f>
        <v>0</v>
      </c>
    </row>
    <row r="37" spans="3:21" x14ac:dyDescent="0.25">
      <c r="C37">
        <f>DATA_CLEANING!J38</f>
        <v>2319.9499999999998</v>
      </c>
      <c r="D37">
        <f t="shared" si="1"/>
        <v>115.9975</v>
      </c>
      <c r="E37">
        <f t="shared" si="1"/>
        <v>231.995</v>
      </c>
      <c r="F37">
        <f t="shared" si="1"/>
        <v>463.99</v>
      </c>
      <c r="G37">
        <f t="shared" si="1"/>
        <v>695.9849999999999</v>
      </c>
      <c r="H37" t="str">
        <f>IF(Table3[[#This Row],[Sales Amount]]&gt;500,"Large Order",  "Standard Order")</f>
        <v>Large Order</v>
      </c>
      <c r="I37" t="str">
        <f>IF(AND(Table3[[#This Row],[Sales Amount]]&gt;750,DATA_CLEANING!H38&gt;5), "GREAT ORDER", "LOW ORDER")</f>
        <v>LOW ORDER</v>
      </c>
      <c r="K37" s="26">
        <f>DATA_CLEANING!H37</f>
        <v>8</v>
      </c>
      <c r="L37" t="str">
        <f>DATA_CLEANING!C37</f>
        <v>CUST-140</v>
      </c>
      <c r="U37" s="5">
        <f>VALUE(DATA_CLEANING!J37)*
IF(VALUE(DATA_CLEANING!J37)&gt;=6000,30%,
IF(VALUE(DATA_CLEANING!J37)&gt;=5000,20%,
IF(VALUE(DATA_CLEANING!J37)&gt;=3000,10%,
IF(VALUE(DATA_CLEANING!J37)&gt;=1000,5%,0))))</f>
        <v>98.348000000000013</v>
      </c>
    </row>
    <row r="38" spans="3:21" x14ac:dyDescent="0.25">
      <c r="C38">
        <f>DATA_CLEANING!J39</f>
        <v>2981.64</v>
      </c>
      <c r="D38">
        <f t="shared" si="1"/>
        <v>149.08199999999999</v>
      </c>
      <c r="E38">
        <f t="shared" si="1"/>
        <v>298.16399999999999</v>
      </c>
      <c r="F38">
        <f t="shared" si="1"/>
        <v>596.32799999999997</v>
      </c>
      <c r="G38">
        <f t="shared" si="1"/>
        <v>894.49199999999996</v>
      </c>
      <c r="H38" t="str">
        <f>IF(Table3[[#This Row],[Sales Amount]]&gt;500,"Large Order",  "Standard Order")</f>
        <v>Large Order</v>
      </c>
      <c r="I38" t="str">
        <f>IF(AND(Table3[[#This Row],[Sales Amount]]&gt;750,DATA_CLEANING!H39&gt;5), "GREAT ORDER", "LOW ORDER")</f>
        <v>GREAT ORDER</v>
      </c>
      <c r="K38" s="26">
        <f>DATA_CLEANING!H38</f>
        <v>5</v>
      </c>
      <c r="L38" t="str">
        <f>DATA_CLEANING!C38</f>
        <v>CUST-141</v>
      </c>
      <c r="U38" s="5">
        <f>VALUE(DATA_CLEANING!J38)*
IF(VALUE(DATA_CLEANING!J38)&gt;=6000,30%,
IF(VALUE(DATA_CLEANING!J38)&gt;=5000,20%,
IF(VALUE(DATA_CLEANING!J38)&gt;=3000,10%,
IF(VALUE(DATA_CLEANING!J38)&gt;=1000,5%,0))))</f>
        <v>115.9975</v>
      </c>
    </row>
    <row r="39" spans="3:21" x14ac:dyDescent="0.25">
      <c r="C39">
        <f>DATA_CLEANING!J40</f>
        <v>358.83</v>
      </c>
      <c r="D39">
        <f t="shared" si="1"/>
        <v>17.941500000000001</v>
      </c>
      <c r="E39">
        <f t="shared" si="1"/>
        <v>35.883000000000003</v>
      </c>
      <c r="F39">
        <f t="shared" si="1"/>
        <v>71.766000000000005</v>
      </c>
      <c r="G39">
        <f t="shared" si="1"/>
        <v>107.64899999999999</v>
      </c>
      <c r="H39" t="str">
        <f>IF(Table3[[#This Row],[Sales Amount]]&gt;500,"Large Order",  "Standard Order")</f>
        <v>Standard Order</v>
      </c>
      <c r="I39" t="str">
        <f>IF(AND(Table3[[#This Row],[Sales Amount]]&gt;750,DATA_CLEANING!H40&gt;5), "GREAT ORDER", "LOW ORDER")</f>
        <v>LOW ORDER</v>
      </c>
      <c r="K39" s="26">
        <f>DATA_CLEANING!H39</f>
        <v>12</v>
      </c>
      <c r="L39" t="str">
        <f>DATA_CLEANING!C39</f>
        <v>CUST-142</v>
      </c>
      <c r="U39" s="5">
        <f>VALUE(DATA_CLEANING!J39)*
IF(VALUE(DATA_CLEANING!J39)&gt;=6000,30%,
IF(VALUE(DATA_CLEANING!J39)&gt;=5000,20%,
IF(VALUE(DATA_CLEANING!J39)&gt;=3000,10%,
IF(VALUE(DATA_CLEANING!J39)&gt;=1000,5%,0))))</f>
        <v>149.08199999999999</v>
      </c>
    </row>
    <row r="40" spans="3:21" x14ac:dyDescent="0.25">
      <c r="C40">
        <f>DATA_CLEANING!J41</f>
        <v>6417.45</v>
      </c>
      <c r="D40">
        <f t="shared" si="1"/>
        <v>320.8725</v>
      </c>
      <c r="E40">
        <f t="shared" si="1"/>
        <v>641.745</v>
      </c>
      <c r="F40">
        <f t="shared" si="1"/>
        <v>1283.49</v>
      </c>
      <c r="G40">
        <f t="shared" si="1"/>
        <v>1925.2349999999999</v>
      </c>
      <c r="H40" t="str">
        <f>IF(Table3[[#This Row],[Sales Amount]]&gt;500,"Large Order",  "Standard Order")</f>
        <v>Large Order</v>
      </c>
      <c r="I40" t="str">
        <f>IF(AND(Table3[[#This Row],[Sales Amount]]&gt;750,DATA_CLEANING!H41&gt;5), "GREAT ORDER", "LOW ORDER")</f>
        <v>GREAT ORDER</v>
      </c>
      <c r="K40" s="26">
        <f>DATA_CLEANING!H40</f>
        <v>9</v>
      </c>
      <c r="L40" t="str">
        <f>DATA_CLEANING!C40</f>
        <v>CUST-143</v>
      </c>
      <c r="U40" s="5">
        <f>VALUE(DATA_CLEANING!J40)*
IF(VALUE(DATA_CLEANING!J40)&gt;=6000,30%,
IF(VALUE(DATA_CLEANING!J40)&gt;=5000,20%,
IF(VALUE(DATA_CLEANING!J40)&gt;=3000,10%,
IF(VALUE(DATA_CLEANING!J40)&gt;=1000,5%,0))))</f>
        <v>0</v>
      </c>
    </row>
    <row r="41" spans="3:21" x14ac:dyDescent="0.25">
      <c r="C41">
        <f>DATA_CLEANING!J42</f>
        <v>433</v>
      </c>
      <c r="D41">
        <f t="shared" si="1"/>
        <v>21.650000000000002</v>
      </c>
      <c r="E41">
        <f t="shared" si="1"/>
        <v>43.300000000000004</v>
      </c>
      <c r="F41">
        <f t="shared" si="1"/>
        <v>86.600000000000009</v>
      </c>
      <c r="G41">
        <f t="shared" si="1"/>
        <v>129.9</v>
      </c>
      <c r="H41" t="str">
        <f>IF(Table3[[#This Row],[Sales Amount]]&gt;500,"Large Order",  "Standard Order")</f>
        <v>Standard Order</v>
      </c>
      <c r="I41" t="str">
        <f>IF(AND(Table3[[#This Row],[Sales Amount]]&gt;750,DATA_CLEANING!H42&gt;5), "GREAT ORDER", "LOW ORDER")</f>
        <v>LOW ORDER</v>
      </c>
      <c r="K41" s="26">
        <f>DATA_CLEANING!H41</f>
        <v>15</v>
      </c>
      <c r="L41" t="str">
        <f>DATA_CLEANING!C41</f>
        <v>CUST-144</v>
      </c>
      <c r="U41" s="5">
        <f>VALUE(DATA_CLEANING!J41)*
IF(VALUE(DATA_CLEANING!J41)&gt;=6000,30%,
IF(VALUE(DATA_CLEANING!J41)&gt;=5000,20%,
IF(VALUE(DATA_CLEANING!J41)&gt;=3000,10%,
IF(VALUE(DATA_CLEANING!J41)&gt;=1000,5%,0))))</f>
        <v>1925.2349999999999</v>
      </c>
    </row>
    <row r="42" spans="3:21" x14ac:dyDescent="0.25">
      <c r="C42">
        <f>DATA_CLEANING!J43</f>
        <v>294.7</v>
      </c>
      <c r="D42">
        <f t="shared" ref="D42:G61" si="2">$C42*D$1</f>
        <v>14.734999999999999</v>
      </c>
      <c r="E42">
        <f t="shared" si="2"/>
        <v>29.47</v>
      </c>
      <c r="F42">
        <f t="shared" si="2"/>
        <v>58.94</v>
      </c>
      <c r="G42">
        <f t="shared" si="2"/>
        <v>88.41</v>
      </c>
      <c r="H42" t="str">
        <f>IF(Table3[[#This Row],[Sales Amount]]&gt;500,"Large Order",  "Standard Order")</f>
        <v>Standard Order</v>
      </c>
      <c r="I42" t="str">
        <f>IF(AND(Table3[[#This Row],[Sales Amount]]&gt;750,DATA_CLEANING!H43&gt;5), "GREAT ORDER", "LOW ORDER")</f>
        <v>LOW ORDER</v>
      </c>
      <c r="K42" s="26">
        <f>DATA_CLEANING!H42</f>
        <v>10</v>
      </c>
      <c r="L42" t="str">
        <f>DATA_CLEANING!C42</f>
        <v>CUST-145</v>
      </c>
      <c r="U42" s="5">
        <f>VALUE(DATA_CLEANING!J42)*
IF(VALUE(DATA_CLEANING!J42)&gt;=6000,30%,
IF(VALUE(DATA_CLEANING!J42)&gt;=5000,20%,
IF(VALUE(DATA_CLEANING!J42)&gt;=3000,10%,
IF(VALUE(DATA_CLEANING!J42)&gt;=1000,5%,0))))</f>
        <v>0</v>
      </c>
    </row>
    <row r="43" spans="3:21" x14ac:dyDescent="0.25">
      <c r="C43">
        <f>DATA_CLEANING!J44</f>
        <v>2066.6999999999998</v>
      </c>
      <c r="D43">
        <f t="shared" si="2"/>
        <v>103.33499999999999</v>
      </c>
      <c r="E43">
        <f t="shared" si="2"/>
        <v>206.67</v>
      </c>
      <c r="F43">
        <f t="shared" si="2"/>
        <v>413.34</v>
      </c>
      <c r="G43">
        <f t="shared" si="2"/>
        <v>620.00999999999988</v>
      </c>
      <c r="H43" t="str">
        <f>IF(Table3[[#This Row],[Sales Amount]]&gt;500,"Large Order",  "Standard Order")</f>
        <v>Large Order</v>
      </c>
      <c r="I43" t="str">
        <f>IF(AND(Table3[[#This Row],[Sales Amount]]&gt;750,DATA_CLEANING!H44&gt;5), "GREAT ORDER", "LOW ORDER")</f>
        <v>GREAT ORDER</v>
      </c>
      <c r="K43" s="26">
        <f>DATA_CLEANING!H43</f>
        <v>10</v>
      </c>
      <c r="L43" t="str">
        <f>DATA_CLEANING!C43</f>
        <v>CUST-146</v>
      </c>
      <c r="U43" s="5">
        <f>VALUE(DATA_CLEANING!J43)*
IF(VALUE(DATA_CLEANING!J43)&gt;=6000,30%,
IF(VALUE(DATA_CLEANING!J43)&gt;=5000,20%,
IF(VALUE(DATA_CLEANING!J43)&gt;=3000,10%,
IF(VALUE(DATA_CLEANING!J43)&gt;=1000,5%,0))))</f>
        <v>0</v>
      </c>
    </row>
    <row r="44" spans="3:21" x14ac:dyDescent="0.25">
      <c r="C44">
        <f>DATA_CLEANING!J45</f>
        <v>3589.3</v>
      </c>
      <c r="D44">
        <f t="shared" si="2"/>
        <v>179.46500000000003</v>
      </c>
      <c r="E44">
        <f t="shared" si="2"/>
        <v>358.93000000000006</v>
      </c>
      <c r="F44">
        <f t="shared" si="2"/>
        <v>717.86000000000013</v>
      </c>
      <c r="G44">
        <f t="shared" si="2"/>
        <v>1076.79</v>
      </c>
      <c r="H44" t="str">
        <f>IF(Table3[[#This Row],[Sales Amount]]&gt;500,"Large Order",  "Standard Order")</f>
        <v>Large Order</v>
      </c>
      <c r="I44" t="str">
        <f>IF(AND(Table3[[#This Row],[Sales Amount]]&gt;750,DATA_CLEANING!H45&gt;5), "GREAT ORDER", "LOW ORDER")</f>
        <v>GREAT ORDER</v>
      </c>
      <c r="K44" s="26">
        <f>DATA_CLEANING!H44</f>
        <v>15</v>
      </c>
      <c r="L44" t="str">
        <f>DATA_CLEANING!C44</f>
        <v>CUST-147</v>
      </c>
      <c r="U44" s="5">
        <f>VALUE(DATA_CLEANING!J44)*
IF(VALUE(DATA_CLEANING!J44)&gt;=6000,30%,
IF(VALUE(DATA_CLEANING!J44)&gt;=5000,20%,
IF(VALUE(DATA_CLEANING!J44)&gt;=3000,10%,
IF(VALUE(DATA_CLEANING!J44)&gt;=1000,5%,0))))</f>
        <v>103.33499999999999</v>
      </c>
    </row>
    <row r="45" spans="3:21" x14ac:dyDescent="0.25">
      <c r="C45">
        <f>DATA_CLEANING!J46</f>
        <v>4980.8999999999996</v>
      </c>
      <c r="D45">
        <f t="shared" si="2"/>
        <v>249.04499999999999</v>
      </c>
      <c r="E45">
        <f t="shared" si="2"/>
        <v>498.09</v>
      </c>
      <c r="F45">
        <f t="shared" si="2"/>
        <v>996.18</v>
      </c>
      <c r="G45">
        <f t="shared" si="2"/>
        <v>1494.2699999999998</v>
      </c>
      <c r="H45" t="str">
        <f>IF(Table3[[#This Row],[Sales Amount]]&gt;500,"Large Order",  "Standard Order")</f>
        <v>Large Order</v>
      </c>
      <c r="I45" t="str">
        <f>IF(AND(Table3[[#This Row],[Sales Amount]]&gt;750,DATA_CLEANING!H46&gt;5), "GREAT ORDER", "LOW ORDER")</f>
        <v>GREAT ORDER</v>
      </c>
      <c r="K45" s="26">
        <f>DATA_CLEANING!H45</f>
        <v>11</v>
      </c>
      <c r="L45" t="str">
        <f>DATA_CLEANING!C45</f>
        <v>CUST-148</v>
      </c>
      <c r="U45" s="5">
        <f>VALUE(DATA_CLEANING!J45)*
IF(VALUE(DATA_CLEANING!J45)&gt;=6000,30%,
IF(VALUE(DATA_CLEANING!J45)&gt;=5000,20%,
IF(VALUE(DATA_CLEANING!J45)&gt;=3000,10%,
IF(VALUE(DATA_CLEANING!J45)&gt;=1000,5%,0))))</f>
        <v>358.93000000000006</v>
      </c>
    </row>
    <row r="46" spans="3:21" x14ac:dyDescent="0.25">
      <c r="C46">
        <f>DATA_CLEANING!J47</f>
        <v>2715.1499999999996</v>
      </c>
      <c r="D46">
        <f t="shared" si="2"/>
        <v>135.75749999999999</v>
      </c>
      <c r="E46">
        <f t="shared" si="2"/>
        <v>271.51499999999999</v>
      </c>
      <c r="F46">
        <f t="shared" si="2"/>
        <v>543.03</v>
      </c>
      <c r="G46">
        <f t="shared" si="2"/>
        <v>814.54499999999985</v>
      </c>
      <c r="H46" t="str">
        <f>IF(Table3[[#This Row],[Sales Amount]]&gt;500,"Large Order",  "Standard Order")</f>
        <v>Large Order</v>
      </c>
      <c r="I46" t="str">
        <f>IF(AND(Table3[[#This Row],[Sales Amount]]&gt;750,DATA_CLEANING!H47&gt;5), "GREAT ORDER", "LOW ORDER")</f>
        <v>GREAT ORDER</v>
      </c>
      <c r="K46" s="26">
        <f>DATA_CLEANING!H46</f>
        <v>10</v>
      </c>
      <c r="L46" t="str">
        <f>DATA_CLEANING!C46</f>
        <v>CUST-149</v>
      </c>
      <c r="U46" s="5">
        <f>VALUE(DATA_CLEANING!J46)*
IF(VALUE(DATA_CLEANING!J46)&gt;=6000,30%,
IF(VALUE(DATA_CLEANING!J46)&gt;=5000,20%,
IF(VALUE(DATA_CLEANING!J46)&gt;=3000,10%,
IF(VALUE(DATA_CLEANING!J46)&gt;=1000,5%,0))))</f>
        <v>498.09</v>
      </c>
    </row>
    <row r="47" spans="3:21" x14ac:dyDescent="0.25">
      <c r="C47">
        <f>DATA_CLEANING!J48</f>
        <v>3866.52</v>
      </c>
      <c r="D47">
        <f t="shared" si="2"/>
        <v>193.32600000000002</v>
      </c>
      <c r="E47">
        <f t="shared" si="2"/>
        <v>386.65200000000004</v>
      </c>
      <c r="F47">
        <f t="shared" si="2"/>
        <v>773.30400000000009</v>
      </c>
      <c r="G47">
        <f t="shared" si="2"/>
        <v>1159.9559999999999</v>
      </c>
      <c r="H47" t="str">
        <f>IF(Table3[[#This Row],[Sales Amount]]&gt;500,"Large Order",  "Standard Order")</f>
        <v>Large Order</v>
      </c>
      <c r="I47" t="str">
        <f>IF(AND(Table3[[#This Row],[Sales Amount]]&gt;750,DATA_CLEANING!H48&gt;5), "GREAT ORDER", "LOW ORDER")</f>
        <v>GREAT ORDER</v>
      </c>
      <c r="K47" s="26">
        <f>DATA_CLEANING!H47</f>
        <v>15</v>
      </c>
      <c r="L47" t="str">
        <f>DATA_CLEANING!C47</f>
        <v>CUST-150</v>
      </c>
      <c r="U47" s="5">
        <f>VALUE(DATA_CLEANING!J47)*
IF(VALUE(DATA_CLEANING!J47)&gt;=6000,30%,
IF(VALUE(DATA_CLEANING!J47)&gt;=5000,20%,
IF(VALUE(DATA_CLEANING!J47)&gt;=3000,10%,
IF(VALUE(DATA_CLEANING!J47)&gt;=1000,5%,0))))</f>
        <v>135.75749999999999</v>
      </c>
    </row>
    <row r="48" spans="3:21" x14ac:dyDescent="0.25">
      <c r="C48">
        <f>DATA_CLEANING!J49</f>
        <v>5025.8999999999996</v>
      </c>
      <c r="D48">
        <f t="shared" si="2"/>
        <v>251.29499999999999</v>
      </c>
      <c r="E48">
        <f t="shared" si="2"/>
        <v>502.59</v>
      </c>
      <c r="F48">
        <f t="shared" si="2"/>
        <v>1005.18</v>
      </c>
      <c r="G48">
        <f t="shared" si="2"/>
        <v>1507.7699999999998</v>
      </c>
      <c r="H48" t="str">
        <f>IF(Table3[[#This Row],[Sales Amount]]&gt;500,"Large Order",  "Standard Order")</f>
        <v>Large Order</v>
      </c>
      <c r="I48" t="str">
        <f>IF(AND(Table3[[#This Row],[Sales Amount]]&gt;750,DATA_CLEANING!H49&gt;5), "GREAT ORDER", "LOW ORDER")</f>
        <v>GREAT ORDER</v>
      </c>
      <c r="K48" s="26">
        <f>DATA_CLEANING!H48</f>
        <v>14</v>
      </c>
      <c r="L48" t="str">
        <f>DATA_CLEANING!C48</f>
        <v>CUST-151</v>
      </c>
      <c r="U48" s="5">
        <f>VALUE(DATA_CLEANING!J48)*
IF(VALUE(DATA_CLEANING!J48)&gt;=6000,30%,
IF(VALUE(DATA_CLEANING!J48)&gt;=5000,20%,
IF(VALUE(DATA_CLEANING!J48)&gt;=3000,10%,
IF(VALUE(DATA_CLEANING!J48)&gt;=1000,5%,0))))</f>
        <v>386.65200000000004</v>
      </c>
    </row>
    <row r="49" spans="3:21" x14ac:dyDescent="0.25">
      <c r="C49">
        <f>DATA_CLEANING!J50</f>
        <v>740.3</v>
      </c>
      <c r="D49">
        <f t="shared" si="2"/>
        <v>37.015000000000001</v>
      </c>
      <c r="E49">
        <f t="shared" si="2"/>
        <v>74.03</v>
      </c>
      <c r="F49">
        <f t="shared" si="2"/>
        <v>148.06</v>
      </c>
      <c r="G49">
        <f t="shared" si="2"/>
        <v>222.08999999999997</v>
      </c>
      <c r="H49" t="str">
        <f>IF(Table3[[#This Row],[Sales Amount]]&gt;500,"Large Order",  "Standard Order")</f>
        <v>Large Order</v>
      </c>
      <c r="I49" t="str">
        <f>IF(AND(Table3[[#This Row],[Sales Amount]]&gt;750,DATA_CLEANING!H50&gt;5), "GREAT ORDER", "LOW ORDER")</f>
        <v>LOW ORDER</v>
      </c>
      <c r="K49" s="26">
        <f>DATA_CLEANING!H49</f>
        <v>15</v>
      </c>
      <c r="L49" t="str">
        <f>DATA_CLEANING!C49</f>
        <v>CUST-152</v>
      </c>
      <c r="U49" s="5">
        <f>VALUE(DATA_CLEANING!J49)*
IF(VALUE(DATA_CLEANING!J49)&gt;=6000,30%,
IF(VALUE(DATA_CLEANING!J49)&gt;=5000,20%,
IF(VALUE(DATA_CLEANING!J49)&gt;=3000,10%,
IF(VALUE(DATA_CLEANING!J49)&gt;=1000,5%,0))))</f>
        <v>1005.18</v>
      </c>
    </row>
    <row r="50" spans="3:21" x14ac:dyDescent="0.25">
      <c r="C50">
        <f>DATA_CLEANING!J51</f>
        <v>2268.0500000000002</v>
      </c>
      <c r="D50">
        <f t="shared" si="2"/>
        <v>113.40250000000002</v>
      </c>
      <c r="E50">
        <f t="shared" si="2"/>
        <v>226.80500000000004</v>
      </c>
      <c r="F50">
        <f t="shared" si="2"/>
        <v>453.61000000000007</v>
      </c>
      <c r="G50">
        <f t="shared" si="2"/>
        <v>680.41500000000008</v>
      </c>
      <c r="H50" t="str">
        <f>IF(Table3[[#This Row],[Sales Amount]]&gt;500,"Large Order",  "Standard Order")</f>
        <v>Large Order</v>
      </c>
      <c r="I50" t="str">
        <f>IF(AND(Table3[[#This Row],[Sales Amount]]&gt;750,DATA_CLEANING!H51&gt;5), "GREAT ORDER", "LOW ORDER")</f>
        <v>LOW ORDER</v>
      </c>
      <c r="K50" s="26">
        <f>DATA_CLEANING!H50</f>
        <v>5</v>
      </c>
      <c r="L50" t="str">
        <f>DATA_CLEANING!C50</f>
        <v>CUST-153</v>
      </c>
      <c r="U50" s="5">
        <f>VALUE(DATA_CLEANING!J50)*
IF(VALUE(DATA_CLEANING!J50)&gt;=6000,30%,
IF(VALUE(DATA_CLEANING!J50)&gt;=5000,20%,
IF(VALUE(DATA_CLEANING!J50)&gt;=3000,10%,
IF(VALUE(DATA_CLEANING!J50)&gt;=1000,5%,0))))</f>
        <v>0</v>
      </c>
    </row>
    <row r="51" spans="3:21" x14ac:dyDescent="0.25">
      <c r="C51">
        <f>DATA_CLEANING!J52</f>
        <v>2327.1000000000004</v>
      </c>
      <c r="D51">
        <f t="shared" si="2"/>
        <v>116.35500000000002</v>
      </c>
      <c r="E51">
        <f t="shared" si="2"/>
        <v>232.71000000000004</v>
      </c>
      <c r="F51">
        <f t="shared" si="2"/>
        <v>465.42000000000007</v>
      </c>
      <c r="G51">
        <f t="shared" si="2"/>
        <v>698.13000000000011</v>
      </c>
      <c r="H51" t="str">
        <f>IF(Table3[[#This Row],[Sales Amount]]&gt;500,"Large Order",  "Standard Order")</f>
        <v>Large Order</v>
      </c>
      <c r="I51" t="str">
        <f>IF(AND(Table3[[#This Row],[Sales Amount]]&gt;750,DATA_CLEANING!H52&gt;5), "GREAT ORDER", "LOW ORDER")</f>
        <v>GREAT ORDER</v>
      </c>
      <c r="K51" s="26">
        <f>DATA_CLEANING!H51</f>
        <v>5</v>
      </c>
      <c r="L51" t="str">
        <f>DATA_CLEANING!C51</f>
        <v>CUST-154</v>
      </c>
      <c r="U51" s="5">
        <f>VALUE(DATA_CLEANING!J51)*
IF(VALUE(DATA_CLEANING!J51)&gt;=6000,30%,
IF(VALUE(DATA_CLEANING!J51)&gt;=5000,20%,
IF(VALUE(DATA_CLEANING!J51)&gt;=3000,10%,
IF(VALUE(DATA_CLEANING!J51)&gt;=1000,5%,0))))</f>
        <v>113.40250000000002</v>
      </c>
    </row>
    <row r="52" spans="3:21" x14ac:dyDescent="0.25">
      <c r="C52">
        <f>DATA_CLEANING!J53</f>
        <v>1993.8799999999999</v>
      </c>
      <c r="D52">
        <f t="shared" si="2"/>
        <v>99.694000000000003</v>
      </c>
      <c r="E52">
        <f t="shared" si="2"/>
        <v>199.38800000000001</v>
      </c>
      <c r="F52">
        <f t="shared" si="2"/>
        <v>398.77600000000001</v>
      </c>
      <c r="G52">
        <f t="shared" si="2"/>
        <v>598.16399999999999</v>
      </c>
      <c r="H52" t="str">
        <f>IF(Table3[[#This Row],[Sales Amount]]&gt;500,"Large Order",  "Standard Order")</f>
        <v>Large Order</v>
      </c>
      <c r="I52" t="str">
        <f>IF(AND(Table3[[#This Row],[Sales Amount]]&gt;750,DATA_CLEANING!H53&gt;5), "GREAT ORDER", "LOW ORDER")</f>
        <v>GREAT ORDER</v>
      </c>
      <c r="K52" s="26">
        <f>DATA_CLEANING!H52</f>
        <v>6</v>
      </c>
      <c r="L52" t="str">
        <f>DATA_CLEANING!C52</f>
        <v>CUST-155</v>
      </c>
      <c r="U52" s="5">
        <f>VALUE(DATA_CLEANING!J52)*
IF(VALUE(DATA_CLEANING!J52)&gt;=6000,30%,
IF(VALUE(DATA_CLEANING!J52)&gt;=5000,20%,
IF(VALUE(DATA_CLEANING!J52)&gt;=3000,10%,
IF(VALUE(DATA_CLEANING!J52)&gt;=1000,5%,0))))</f>
        <v>116.35500000000002</v>
      </c>
    </row>
    <row r="53" spans="3:21" x14ac:dyDescent="0.25">
      <c r="C53">
        <f>DATA_CLEANING!J54</f>
        <v>2807.4</v>
      </c>
      <c r="D53">
        <f t="shared" si="2"/>
        <v>140.37</v>
      </c>
      <c r="E53">
        <f t="shared" si="2"/>
        <v>280.74</v>
      </c>
      <c r="F53">
        <f t="shared" si="2"/>
        <v>561.48</v>
      </c>
      <c r="G53">
        <f t="shared" si="2"/>
        <v>842.22</v>
      </c>
      <c r="H53" t="str">
        <f>IF(Table3[[#This Row],[Sales Amount]]&gt;500,"Large Order",  "Standard Order")</f>
        <v>Large Order</v>
      </c>
      <c r="I53" t="str">
        <f>IF(AND(Table3[[#This Row],[Sales Amount]]&gt;750,DATA_CLEANING!H54&gt;5), "GREAT ORDER", "LOW ORDER")</f>
        <v>GREAT ORDER</v>
      </c>
      <c r="K53" s="26">
        <f>DATA_CLEANING!H53</f>
        <v>7</v>
      </c>
      <c r="L53" t="str">
        <f>DATA_CLEANING!C53</f>
        <v>CUST-156</v>
      </c>
      <c r="U53" s="5">
        <f>VALUE(DATA_CLEANING!J53)*
IF(VALUE(DATA_CLEANING!J53)&gt;=6000,30%,
IF(VALUE(DATA_CLEANING!J53)&gt;=5000,20%,
IF(VALUE(DATA_CLEANING!J53)&gt;=3000,10%,
IF(VALUE(DATA_CLEANING!J53)&gt;=1000,5%,0))))</f>
        <v>99.694000000000003</v>
      </c>
    </row>
    <row r="54" spans="3:21" x14ac:dyDescent="0.25">
      <c r="C54">
        <f>DATA_CLEANING!J55</f>
        <v>2779.9500000000003</v>
      </c>
      <c r="D54">
        <f t="shared" si="2"/>
        <v>138.99750000000003</v>
      </c>
      <c r="E54">
        <f t="shared" si="2"/>
        <v>277.99500000000006</v>
      </c>
      <c r="F54">
        <f t="shared" si="2"/>
        <v>555.99000000000012</v>
      </c>
      <c r="G54">
        <f t="shared" si="2"/>
        <v>833.98500000000001</v>
      </c>
      <c r="H54" t="str">
        <f>IF(Table3[[#This Row],[Sales Amount]]&gt;500,"Large Order",  "Standard Order")</f>
        <v>Large Order</v>
      </c>
      <c r="I54" t="str">
        <f>IF(AND(Table3[[#This Row],[Sales Amount]]&gt;750,DATA_CLEANING!H55&gt;5), "GREAT ORDER", "LOW ORDER")</f>
        <v>GREAT ORDER</v>
      </c>
      <c r="K54" s="26">
        <f>DATA_CLEANING!H54</f>
        <v>10</v>
      </c>
      <c r="L54" t="str">
        <f>DATA_CLEANING!C54</f>
        <v>CUST-157</v>
      </c>
      <c r="U54" s="5">
        <f>VALUE(DATA_CLEANING!J54)*
IF(VALUE(DATA_CLEANING!J54)&gt;=6000,30%,
IF(VALUE(DATA_CLEANING!J54)&gt;=5000,20%,
IF(VALUE(DATA_CLEANING!J54)&gt;=3000,10%,
IF(VALUE(DATA_CLEANING!J54)&gt;=1000,5%,0))))</f>
        <v>140.37</v>
      </c>
    </row>
    <row r="55" spans="3:21" x14ac:dyDescent="0.25">
      <c r="C55">
        <f>DATA_CLEANING!J56</f>
        <v>3772.4</v>
      </c>
      <c r="D55">
        <f t="shared" si="2"/>
        <v>188.62</v>
      </c>
      <c r="E55">
        <f t="shared" si="2"/>
        <v>377.24</v>
      </c>
      <c r="F55">
        <f t="shared" si="2"/>
        <v>754.48</v>
      </c>
      <c r="G55">
        <f t="shared" si="2"/>
        <v>1131.72</v>
      </c>
      <c r="H55" t="str">
        <f>IF(Table3[[#This Row],[Sales Amount]]&gt;500,"Large Order",  "Standard Order")</f>
        <v>Large Order</v>
      </c>
      <c r="I55" t="str">
        <f>IF(AND(Table3[[#This Row],[Sales Amount]]&gt;750,DATA_CLEANING!H56&gt;5), "GREAT ORDER", "LOW ORDER")</f>
        <v>GREAT ORDER</v>
      </c>
      <c r="K55" s="26">
        <f>DATA_CLEANING!H55</f>
        <v>15</v>
      </c>
      <c r="L55" t="str">
        <f>DATA_CLEANING!C55</f>
        <v>CUST-158</v>
      </c>
      <c r="U55" s="5">
        <f>VALUE(DATA_CLEANING!J55)*
IF(VALUE(DATA_CLEANING!J55)&gt;=6000,30%,
IF(VALUE(DATA_CLEANING!J55)&gt;=5000,20%,
IF(VALUE(DATA_CLEANING!J55)&gt;=3000,10%,
IF(VALUE(DATA_CLEANING!J55)&gt;=1000,5%,0))))</f>
        <v>138.99750000000003</v>
      </c>
    </row>
    <row r="56" spans="3:21" x14ac:dyDescent="0.25">
      <c r="C56">
        <f>DATA_CLEANING!J57</f>
        <v>5556</v>
      </c>
      <c r="D56">
        <f t="shared" si="2"/>
        <v>277.8</v>
      </c>
      <c r="E56">
        <f t="shared" si="2"/>
        <v>555.6</v>
      </c>
      <c r="F56">
        <f t="shared" si="2"/>
        <v>1111.2</v>
      </c>
      <c r="G56">
        <f t="shared" si="2"/>
        <v>1666.8</v>
      </c>
      <c r="H56" t="str">
        <f>IF(Table3[[#This Row],[Sales Amount]]&gt;500,"Large Order",  "Standard Order")</f>
        <v>Large Order</v>
      </c>
      <c r="I56" t="str">
        <f>IF(AND(Table3[[#This Row],[Sales Amount]]&gt;750,DATA_CLEANING!H57&gt;5), "GREAT ORDER", "LOW ORDER")</f>
        <v>GREAT ORDER</v>
      </c>
      <c r="K56" s="26">
        <f>DATA_CLEANING!H56</f>
        <v>10</v>
      </c>
      <c r="L56" t="str">
        <f>DATA_CLEANING!C56</f>
        <v>CUST-159</v>
      </c>
      <c r="U56" s="5">
        <f>VALUE(DATA_CLEANING!J56)*
IF(VALUE(DATA_CLEANING!J56)&gt;=6000,30%,
IF(VALUE(DATA_CLEANING!J56)&gt;=5000,20%,
IF(VALUE(DATA_CLEANING!J56)&gt;=3000,10%,
IF(VALUE(DATA_CLEANING!J56)&gt;=1000,5%,0))))</f>
        <v>377.24</v>
      </c>
    </row>
    <row r="57" spans="3:21" x14ac:dyDescent="0.25">
      <c r="C57">
        <f>DATA_CLEANING!J58</f>
        <v>394.9</v>
      </c>
      <c r="D57">
        <f t="shared" si="2"/>
        <v>19.745000000000001</v>
      </c>
      <c r="E57">
        <f t="shared" si="2"/>
        <v>39.49</v>
      </c>
      <c r="F57">
        <f t="shared" si="2"/>
        <v>78.98</v>
      </c>
      <c r="G57">
        <f t="shared" si="2"/>
        <v>118.46999999999998</v>
      </c>
      <c r="H57" t="str">
        <f>IF(Table3[[#This Row],[Sales Amount]]&gt;500,"Large Order",  "Standard Order")</f>
        <v>Standard Order</v>
      </c>
      <c r="I57" t="str">
        <f>IF(AND(Table3[[#This Row],[Sales Amount]]&gt;750,DATA_CLEANING!H58&gt;5), "GREAT ORDER", "LOW ORDER")</f>
        <v>LOW ORDER</v>
      </c>
      <c r="K57" s="26">
        <f>DATA_CLEANING!H57</f>
        <v>12</v>
      </c>
      <c r="L57" t="str">
        <f>DATA_CLEANING!C57</f>
        <v>CUST-160</v>
      </c>
      <c r="U57" s="5">
        <f>VALUE(DATA_CLEANING!J57)*
IF(VALUE(DATA_CLEANING!J57)&gt;=6000,30%,
IF(VALUE(DATA_CLEANING!J57)&gt;=5000,20%,
IF(VALUE(DATA_CLEANING!J57)&gt;=3000,10%,
IF(VALUE(DATA_CLEANING!J57)&gt;=1000,5%,0))))</f>
        <v>1111.2</v>
      </c>
    </row>
    <row r="58" spans="3:21" x14ac:dyDescent="0.25">
      <c r="C58">
        <f>DATA_CLEANING!J59</f>
        <v>2060.3000000000002</v>
      </c>
      <c r="D58">
        <f t="shared" si="2"/>
        <v>103.01500000000001</v>
      </c>
      <c r="E58">
        <f t="shared" si="2"/>
        <v>206.03000000000003</v>
      </c>
      <c r="F58">
        <f t="shared" si="2"/>
        <v>412.06000000000006</v>
      </c>
      <c r="G58">
        <f t="shared" si="2"/>
        <v>618.09</v>
      </c>
      <c r="H58" t="str">
        <f>IF(Table3[[#This Row],[Sales Amount]]&gt;500,"Large Order",  "Standard Order")</f>
        <v>Large Order</v>
      </c>
      <c r="I58" t="str">
        <f>IF(AND(Table3[[#This Row],[Sales Amount]]&gt;750,DATA_CLEANING!H59&gt;5), "GREAT ORDER", "LOW ORDER")</f>
        <v>LOW ORDER</v>
      </c>
      <c r="K58" s="26">
        <f>DATA_CLEANING!H58</f>
        <v>2</v>
      </c>
      <c r="L58" t="str">
        <f>DATA_CLEANING!C58</f>
        <v>CUST-161</v>
      </c>
      <c r="U58" s="5">
        <f>VALUE(DATA_CLEANING!J58)*
IF(VALUE(DATA_CLEANING!J58)&gt;=6000,30%,
IF(VALUE(DATA_CLEANING!J58)&gt;=5000,20%,
IF(VALUE(DATA_CLEANING!J58)&gt;=3000,10%,
IF(VALUE(DATA_CLEANING!J58)&gt;=1000,5%,0))))</f>
        <v>0</v>
      </c>
    </row>
    <row r="59" spans="3:21" x14ac:dyDescent="0.25">
      <c r="C59">
        <f>DATA_CLEANING!J60</f>
        <v>2167.6499999999996</v>
      </c>
      <c r="D59">
        <f t="shared" si="2"/>
        <v>108.38249999999999</v>
      </c>
      <c r="E59">
        <f t="shared" si="2"/>
        <v>216.76499999999999</v>
      </c>
      <c r="F59">
        <f t="shared" si="2"/>
        <v>433.53</v>
      </c>
      <c r="G59">
        <f t="shared" si="2"/>
        <v>650.29499999999985</v>
      </c>
      <c r="H59" t="str">
        <f>IF(Table3[[#This Row],[Sales Amount]]&gt;500,"Large Order",  "Standard Order")</f>
        <v>Large Order</v>
      </c>
      <c r="I59" t="str">
        <f>IF(AND(Table3[[#This Row],[Sales Amount]]&gt;750,DATA_CLEANING!H60&gt;5), "GREAT ORDER", "LOW ORDER")</f>
        <v>LOW ORDER</v>
      </c>
      <c r="K59" s="26">
        <f>DATA_CLEANING!H59</f>
        <v>5</v>
      </c>
      <c r="L59" t="str">
        <f>DATA_CLEANING!C59</f>
        <v>CUST-162</v>
      </c>
      <c r="U59" s="5">
        <f>VALUE(DATA_CLEANING!J59)*
IF(VALUE(DATA_CLEANING!J59)&gt;=6000,30%,
IF(VALUE(DATA_CLEANING!J59)&gt;=5000,20%,
IF(VALUE(DATA_CLEANING!J59)&gt;=3000,10%,
IF(VALUE(DATA_CLEANING!J59)&gt;=1000,5%,0))))</f>
        <v>103.01500000000001</v>
      </c>
    </row>
    <row r="60" spans="3:21" x14ac:dyDescent="0.25">
      <c r="C60">
        <f>DATA_CLEANING!J61</f>
        <v>3818.5</v>
      </c>
      <c r="D60">
        <f t="shared" si="2"/>
        <v>190.92500000000001</v>
      </c>
      <c r="E60">
        <f t="shared" si="2"/>
        <v>381.85</v>
      </c>
      <c r="F60">
        <f t="shared" si="2"/>
        <v>763.7</v>
      </c>
      <c r="G60">
        <f t="shared" si="2"/>
        <v>1145.55</v>
      </c>
      <c r="H60" t="str">
        <f>IF(Table3[[#This Row],[Sales Amount]]&gt;500,"Large Order",  "Standard Order")</f>
        <v>Large Order</v>
      </c>
      <c r="I60" t="str">
        <f>IF(AND(Table3[[#This Row],[Sales Amount]]&gt;750,DATA_CLEANING!H61&gt;5), "GREAT ORDER", "LOW ORDER")</f>
        <v>GREAT ORDER</v>
      </c>
      <c r="K60" s="26">
        <f>DATA_CLEANING!H60</f>
        <v>5</v>
      </c>
      <c r="L60" t="str">
        <f>DATA_CLEANING!C60</f>
        <v>CUST-163</v>
      </c>
      <c r="U60" s="5">
        <f>VALUE(DATA_CLEANING!J60)*
IF(VALUE(DATA_CLEANING!J60)&gt;=6000,30%,
IF(VALUE(DATA_CLEANING!J60)&gt;=5000,20%,
IF(VALUE(DATA_CLEANING!J60)&gt;=3000,10%,
IF(VALUE(DATA_CLEANING!J60)&gt;=1000,5%,0))))</f>
        <v>108.38249999999999</v>
      </c>
    </row>
    <row r="61" spans="3:21" x14ac:dyDescent="0.25">
      <c r="C61">
        <f>DATA_CLEANING!J62</f>
        <v>63.12</v>
      </c>
      <c r="D61">
        <f t="shared" si="2"/>
        <v>3.1560000000000001</v>
      </c>
      <c r="E61">
        <f t="shared" si="2"/>
        <v>6.3120000000000003</v>
      </c>
      <c r="F61">
        <f t="shared" si="2"/>
        <v>12.624000000000001</v>
      </c>
      <c r="G61">
        <f t="shared" si="2"/>
        <v>18.936</v>
      </c>
      <c r="H61" t="str">
        <f>IF(Table3[[#This Row],[Sales Amount]]&gt;500,"Large Order",  "Standard Order")</f>
        <v>Standard Order</v>
      </c>
      <c r="I61" t="str">
        <f>IF(AND(Table3[[#This Row],[Sales Amount]]&gt;750,DATA_CLEANING!H62&gt;5), "GREAT ORDER", "LOW ORDER")</f>
        <v>LOW ORDER</v>
      </c>
      <c r="K61" s="26">
        <f>DATA_CLEANING!H61</f>
        <v>14</v>
      </c>
      <c r="L61" t="str">
        <f>DATA_CLEANING!C61</f>
        <v>CUST-164</v>
      </c>
      <c r="U61" s="5">
        <f>VALUE(DATA_CLEANING!J61)*
IF(VALUE(DATA_CLEANING!J61)&gt;=6000,30%,
IF(VALUE(DATA_CLEANING!J61)&gt;=5000,20%,
IF(VALUE(DATA_CLEANING!J61)&gt;=3000,10%,
IF(VALUE(DATA_CLEANING!J61)&gt;=1000,5%,0))))</f>
        <v>381.85</v>
      </c>
    </row>
    <row r="62" spans="3:21" x14ac:dyDescent="0.25">
      <c r="C62">
        <f>DATA_CLEANING!J63</f>
        <v>397.5</v>
      </c>
      <c r="D62">
        <f t="shared" ref="D62:G81" si="3">$C62*D$1</f>
        <v>19.875</v>
      </c>
      <c r="E62">
        <f t="shared" si="3"/>
        <v>39.75</v>
      </c>
      <c r="F62">
        <f t="shared" si="3"/>
        <v>79.5</v>
      </c>
      <c r="G62">
        <f t="shared" si="3"/>
        <v>119.25</v>
      </c>
      <c r="H62" t="str">
        <f>IF(Table3[[#This Row],[Sales Amount]]&gt;500,"Large Order",  "Standard Order")</f>
        <v>Standard Order</v>
      </c>
      <c r="I62" t="str">
        <f>IF(AND(Table3[[#This Row],[Sales Amount]]&gt;750,DATA_CLEANING!H63&gt;5), "GREAT ORDER", "LOW ORDER")</f>
        <v>LOW ORDER</v>
      </c>
      <c r="K62" s="26">
        <f>DATA_CLEANING!H62</f>
        <v>1</v>
      </c>
      <c r="L62" t="str">
        <f>DATA_CLEANING!C62</f>
        <v>CUST-165</v>
      </c>
      <c r="U62" s="5">
        <f>VALUE(DATA_CLEANING!J62)*
IF(VALUE(DATA_CLEANING!J62)&gt;=6000,30%,
IF(VALUE(DATA_CLEANING!J62)&gt;=5000,20%,
IF(VALUE(DATA_CLEANING!J62)&gt;=3000,10%,
IF(VALUE(DATA_CLEANING!J62)&gt;=1000,5%,0))))</f>
        <v>0</v>
      </c>
    </row>
    <row r="63" spans="3:21" x14ac:dyDescent="0.25">
      <c r="C63">
        <f>DATA_CLEANING!J64</f>
        <v>4171.7699999999995</v>
      </c>
      <c r="D63">
        <f t="shared" si="3"/>
        <v>208.58849999999998</v>
      </c>
      <c r="E63">
        <f t="shared" si="3"/>
        <v>417.17699999999996</v>
      </c>
      <c r="F63">
        <f t="shared" si="3"/>
        <v>834.35399999999993</v>
      </c>
      <c r="G63">
        <f t="shared" si="3"/>
        <v>1251.5309999999997</v>
      </c>
      <c r="H63" t="str">
        <f>IF(Table3[[#This Row],[Sales Amount]]&gt;500,"Large Order",  "Standard Order")</f>
        <v>Large Order</v>
      </c>
      <c r="I63" t="str">
        <f>IF(AND(Table3[[#This Row],[Sales Amount]]&gt;750,DATA_CLEANING!H64&gt;5), "GREAT ORDER", "LOW ORDER")</f>
        <v>GREAT ORDER</v>
      </c>
      <c r="K63" s="26">
        <f>DATA_CLEANING!H63</f>
        <v>2</v>
      </c>
      <c r="L63" t="str">
        <f>DATA_CLEANING!C63</f>
        <v>CUST-166</v>
      </c>
      <c r="U63" s="5">
        <f>VALUE(DATA_CLEANING!J63)*
IF(VALUE(DATA_CLEANING!J63)&gt;=6000,30%,
IF(VALUE(DATA_CLEANING!J63)&gt;=5000,20%,
IF(VALUE(DATA_CLEANING!J63)&gt;=3000,10%,
IF(VALUE(DATA_CLEANING!J63)&gt;=1000,5%,0))))</f>
        <v>0</v>
      </c>
    </row>
    <row r="64" spans="3:21" x14ac:dyDescent="0.25">
      <c r="C64">
        <f>DATA_CLEANING!J65</f>
        <v>5072.9800000000005</v>
      </c>
      <c r="D64">
        <f t="shared" si="3"/>
        <v>253.64900000000003</v>
      </c>
      <c r="E64">
        <f t="shared" si="3"/>
        <v>507.29800000000006</v>
      </c>
      <c r="F64">
        <f t="shared" si="3"/>
        <v>1014.5960000000001</v>
      </c>
      <c r="G64">
        <f t="shared" si="3"/>
        <v>1521.894</v>
      </c>
      <c r="H64" t="str">
        <f>IF(Table3[[#This Row],[Sales Amount]]&gt;500,"Large Order",  "Standard Order")</f>
        <v>Large Order</v>
      </c>
      <c r="I64" t="str">
        <f>IF(AND(Table3[[#This Row],[Sales Amount]]&gt;750,DATA_CLEANING!H65&gt;5), "GREAT ORDER", "LOW ORDER")</f>
        <v>GREAT ORDER</v>
      </c>
      <c r="K64" s="26">
        <f>DATA_CLEANING!H64</f>
        <v>9</v>
      </c>
      <c r="L64" t="str">
        <f>DATA_CLEANING!C64</f>
        <v>CUST-167</v>
      </c>
      <c r="U64" s="5">
        <f>VALUE(DATA_CLEANING!J64)*
IF(VALUE(DATA_CLEANING!J64)&gt;=6000,30%,
IF(VALUE(DATA_CLEANING!J64)&gt;=5000,20%,
IF(VALUE(DATA_CLEANING!J64)&gt;=3000,10%,
IF(VALUE(DATA_CLEANING!J64)&gt;=1000,5%,0))))</f>
        <v>417.17699999999996</v>
      </c>
    </row>
    <row r="65" spans="3:21" x14ac:dyDescent="0.25">
      <c r="C65">
        <f>DATA_CLEANING!J66</f>
        <v>2311.21</v>
      </c>
      <c r="D65">
        <f t="shared" si="3"/>
        <v>115.5605</v>
      </c>
      <c r="E65">
        <f t="shared" si="3"/>
        <v>231.12100000000001</v>
      </c>
      <c r="F65">
        <f t="shared" si="3"/>
        <v>462.24200000000002</v>
      </c>
      <c r="G65">
        <f t="shared" si="3"/>
        <v>693.36299999999994</v>
      </c>
      <c r="H65" t="str">
        <f>IF(Table3[[#This Row],[Sales Amount]]&gt;500,"Large Order",  "Standard Order")</f>
        <v>Large Order</v>
      </c>
      <c r="I65" t="str">
        <f>IF(AND(Table3[[#This Row],[Sales Amount]]&gt;750,DATA_CLEANING!H66&gt;5), "GREAT ORDER", "LOW ORDER")</f>
        <v>GREAT ORDER</v>
      </c>
      <c r="K65" s="26">
        <f>DATA_CLEANING!H65</f>
        <v>11</v>
      </c>
      <c r="L65" t="str">
        <f>DATA_CLEANING!C65</f>
        <v>CUST-168</v>
      </c>
      <c r="U65" s="5">
        <f>VALUE(DATA_CLEANING!J65)*
IF(VALUE(DATA_CLEANING!J65)&gt;=6000,30%,
IF(VALUE(DATA_CLEANING!J65)&gt;=5000,20%,
IF(VALUE(DATA_CLEANING!J65)&gt;=3000,10%,
IF(VALUE(DATA_CLEANING!J65)&gt;=1000,5%,0))))</f>
        <v>1014.5960000000001</v>
      </c>
    </row>
    <row r="66" spans="3:21" x14ac:dyDescent="0.25">
      <c r="C66">
        <f>DATA_CLEANING!J67</f>
        <v>2350.7399999999998</v>
      </c>
      <c r="D66">
        <f t="shared" si="3"/>
        <v>117.53699999999999</v>
      </c>
      <c r="E66">
        <f t="shared" si="3"/>
        <v>235.07399999999998</v>
      </c>
      <c r="F66">
        <f t="shared" si="3"/>
        <v>470.14799999999997</v>
      </c>
      <c r="G66">
        <f t="shared" si="3"/>
        <v>705.22199999999987</v>
      </c>
      <c r="H66" t="str">
        <f>IF(Table3[[#This Row],[Sales Amount]]&gt;500,"Large Order",  "Standard Order")</f>
        <v>Large Order</v>
      </c>
      <c r="I66" t="str">
        <f>IF(AND(Table3[[#This Row],[Sales Amount]]&gt;750,DATA_CLEANING!H67&gt;5), "GREAT ORDER", "LOW ORDER")</f>
        <v>GREAT ORDER</v>
      </c>
      <c r="K66" s="26">
        <f>DATA_CLEANING!H66</f>
        <v>11</v>
      </c>
      <c r="L66" t="str">
        <f>DATA_CLEANING!C66</f>
        <v>CUST-169</v>
      </c>
      <c r="U66" s="5">
        <f>VALUE(DATA_CLEANING!J66)*
IF(VALUE(DATA_CLEANING!J66)&gt;=6000,30%,
IF(VALUE(DATA_CLEANING!J66)&gt;=5000,20%,
IF(VALUE(DATA_CLEANING!J66)&gt;=3000,10%,
IF(VALUE(DATA_CLEANING!J66)&gt;=1000,5%,0))))</f>
        <v>115.5605</v>
      </c>
    </row>
    <row r="67" spans="3:21" x14ac:dyDescent="0.25">
      <c r="C67">
        <f>DATA_CLEANING!J68</f>
        <v>1949.43</v>
      </c>
      <c r="D67">
        <f t="shared" si="3"/>
        <v>97.471500000000006</v>
      </c>
      <c r="E67">
        <f t="shared" si="3"/>
        <v>194.94300000000001</v>
      </c>
      <c r="F67">
        <f t="shared" si="3"/>
        <v>389.88600000000002</v>
      </c>
      <c r="G67">
        <f t="shared" si="3"/>
        <v>584.82899999999995</v>
      </c>
      <c r="H67" t="str">
        <f>IF(Table3[[#This Row],[Sales Amount]]&gt;500,"Large Order",  "Standard Order")</f>
        <v>Large Order</v>
      </c>
      <c r="I67" t="str">
        <f>IF(AND(Table3[[#This Row],[Sales Amount]]&gt;750,DATA_CLEANING!H68&gt;5), "GREAT ORDER", "LOW ORDER")</f>
        <v>GREAT ORDER</v>
      </c>
      <c r="K67" s="26">
        <f>DATA_CLEANING!H67</f>
        <v>7</v>
      </c>
      <c r="L67" t="str">
        <f>DATA_CLEANING!C67</f>
        <v>CUST-170</v>
      </c>
      <c r="U67" s="5">
        <f>VALUE(DATA_CLEANING!J67)*
IF(VALUE(DATA_CLEANING!J67)&gt;=6000,30%,
IF(VALUE(DATA_CLEANING!J67)&gt;=5000,20%,
IF(VALUE(DATA_CLEANING!J67)&gt;=3000,10%,
IF(VALUE(DATA_CLEANING!J67)&gt;=1000,5%,0))))</f>
        <v>117.53699999999999</v>
      </c>
    </row>
    <row r="68" spans="3:21" x14ac:dyDescent="0.25">
      <c r="C68">
        <f>DATA_CLEANING!J69</f>
        <v>3308.1</v>
      </c>
      <c r="D68">
        <f t="shared" si="3"/>
        <v>165.405</v>
      </c>
      <c r="E68">
        <f t="shared" si="3"/>
        <v>330.81</v>
      </c>
      <c r="F68">
        <f t="shared" si="3"/>
        <v>661.62</v>
      </c>
      <c r="G68">
        <f t="shared" si="3"/>
        <v>992.43</v>
      </c>
      <c r="H68" t="str">
        <f>IF(Table3[[#This Row],[Sales Amount]]&gt;500,"Large Order",  "Standard Order")</f>
        <v>Large Order</v>
      </c>
      <c r="I68" t="str">
        <f>IF(AND(Table3[[#This Row],[Sales Amount]]&gt;750,DATA_CLEANING!H69&gt;5), "GREAT ORDER", "LOW ORDER")</f>
        <v>GREAT ORDER</v>
      </c>
      <c r="K68" s="26">
        <f>DATA_CLEANING!H68</f>
        <v>7</v>
      </c>
      <c r="L68" t="str">
        <f>DATA_CLEANING!C68</f>
        <v>CUST-171</v>
      </c>
      <c r="U68" s="5">
        <f>VALUE(DATA_CLEANING!J68)*
IF(VALUE(DATA_CLEANING!J68)&gt;=6000,30%,
IF(VALUE(DATA_CLEANING!J68)&gt;=5000,20%,
IF(VALUE(DATA_CLEANING!J68)&gt;=3000,10%,
IF(VALUE(DATA_CLEANING!J68)&gt;=1000,5%,0))))</f>
        <v>97.471500000000006</v>
      </c>
    </row>
    <row r="69" spans="3:21" x14ac:dyDescent="0.25">
      <c r="C69">
        <f>DATA_CLEANING!J70</f>
        <v>5870.54</v>
      </c>
      <c r="D69">
        <f t="shared" si="3"/>
        <v>293.52699999999999</v>
      </c>
      <c r="E69">
        <f t="shared" si="3"/>
        <v>587.05399999999997</v>
      </c>
      <c r="F69">
        <f t="shared" si="3"/>
        <v>1174.1079999999999</v>
      </c>
      <c r="G69">
        <f t="shared" si="3"/>
        <v>1761.162</v>
      </c>
      <c r="H69" t="str">
        <f>IF(Table3[[#This Row],[Sales Amount]]&gt;500,"Large Order",  "Standard Order")</f>
        <v>Large Order</v>
      </c>
      <c r="I69" t="str">
        <f>IF(AND(Table3[[#This Row],[Sales Amount]]&gt;750,DATA_CLEANING!H70&gt;5), "GREAT ORDER", "LOW ORDER")</f>
        <v>GREAT ORDER</v>
      </c>
      <c r="K69" s="26">
        <f>DATA_CLEANING!H69</f>
        <v>10</v>
      </c>
      <c r="L69" t="str">
        <f>DATA_CLEANING!C69</f>
        <v>CUST-172</v>
      </c>
      <c r="U69" s="5">
        <f>VALUE(DATA_CLEANING!J69)*
IF(VALUE(DATA_CLEANING!J69)&gt;=6000,30%,
IF(VALUE(DATA_CLEANING!J69)&gt;=5000,20%,
IF(VALUE(DATA_CLEANING!J69)&gt;=3000,10%,
IF(VALUE(DATA_CLEANING!J69)&gt;=1000,5%,0))))</f>
        <v>330.81</v>
      </c>
    </row>
    <row r="70" spans="3:21" x14ac:dyDescent="0.25">
      <c r="C70">
        <f>DATA_CLEANING!J71</f>
        <v>3447.84</v>
      </c>
      <c r="D70">
        <f t="shared" si="3"/>
        <v>172.39200000000002</v>
      </c>
      <c r="E70">
        <f t="shared" si="3"/>
        <v>344.78400000000005</v>
      </c>
      <c r="F70">
        <f t="shared" si="3"/>
        <v>689.5680000000001</v>
      </c>
      <c r="G70">
        <f t="shared" si="3"/>
        <v>1034.3520000000001</v>
      </c>
      <c r="H70" t="str">
        <f>IF(Table3[[#This Row],[Sales Amount]]&gt;500,"Large Order",  "Standard Order")</f>
        <v>Large Order</v>
      </c>
      <c r="I70" t="str">
        <f>IF(AND(Table3[[#This Row],[Sales Amount]]&gt;750,DATA_CLEANING!H71&gt;5), "GREAT ORDER", "LOW ORDER")</f>
        <v>GREAT ORDER</v>
      </c>
      <c r="K70" s="26">
        <f>DATA_CLEANING!H70</f>
        <v>13</v>
      </c>
      <c r="L70" t="str">
        <f>DATA_CLEANING!C70</f>
        <v>CUST-173</v>
      </c>
      <c r="U70" s="5">
        <f>VALUE(DATA_CLEANING!J70)*
IF(VALUE(DATA_CLEANING!J70)&gt;=6000,30%,
IF(VALUE(DATA_CLEANING!J70)&gt;=5000,20%,
IF(VALUE(DATA_CLEANING!J70)&gt;=3000,10%,
IF(VALUE(DATA_CLEANING!J70)&gt;=1000,5%,0))))</f>
        <v>1174.1079999999999</v>
      </c>
    </row>
    <row r="71" spans="3:21" x14ac:dyDescent="0.25">
      <c r="C71">
        <f>DATA_CLEANING!J72</f>
        <v>32.64</v>
      </c>
      <c r="D71">
        <f t="shared" si="3"/>
        <v>1.6320000000000001</v>
      </c>
      <c r="E71">
        <f t="shared" si="3"/>
        <v>3.2640000000000002</v>
      </c>
      <c r="F71">
        <f t="shared" si="3"/>
        <v>6.5280000000000005</v>
      </c>
      <c r="G71">
        <f t="shared" si="3"/>
        <v>9.7919999999999998</v>
      </c>
      <c r="H71" t="str">
        <f>IF(Table3[[#This Row],[Sales Amount]]&gt;500,"Large Order",  "Standard Order")</f>
        <v>Standard Order</v>
      </c>
      <c r="I71" t="str">
        <f>IF(AND(Table3[[#This Row],[Sales Amount]]&gt;750,DATA_CLEANING!H72&gt;5), "GREAT ORDER", "LOW ORDER")</f>
        <v>LOW ORDER</v>
      </c>
      <c r="K71" s="26">
        <f>DATA_CLEANING!H71</f>
        <v>11</v>
      </c>
      <c r="L71" t="str">
        <f>DATA_CLEANING!C71</f>
        <v>CUST-174</v>
      </c>
      <c r="U71" s="5">
        <f>VALUE(DATA_CLEANING!J71)*
IF(VALUE(DATA_CLEANING!J71)&gt;=6000,30%,
IF(VALUE(DATA_CLEANING!J71)&gt;=5000,20%,
IF(VALUE(DATA_CLEANING!J71)&gt;=3000,10%,
IF(VALUE(DATA_CLEANING!J71)&gt;=1000,5%,0))))</f>
        <v>344.78400000000005</v>
      </c>
    </row>
    <row r="72" spans="3:21" x14ac:dyDescent="0.25">
      <c r="C72">
        <f>DATA_CLEANING!J73</f>
        <v>1052.7</v>
      </c>
      <c r="D72">
        <f t="shared" si="3"/>
        <v>52.635000000000005</v>
      </c>
      <c r="E72">
        <f t="shared" si="3"/>
        <v>105.27000000000001</v>
      </c>
      <c r="F72">
        <f t="shared" si="3"/>
        <v>210.54000000000002</v>
      </c>
      <c r="G72">
        <f t="shared" si="3"/>
        <v>315.81</v>
      </c>
      <c r="H72" t="str">
        <f>IF(Table3[[#This Row],[Sales Amount]]&gt;500,"Large Order",  "Standard Order")</f>
        <v>Large Order</v>
      </c>
      <c r="I72" t="str">
        <f>IF(AND(Table3[[#This Row],[Sales Amount]]&gt;750,DATA_CLEANING!H73&gt;5), "GREAT ORDER", "LOW ORDER")</f>
        <v>GREAT ORDER</v>
      </c>
      <c r="K72" s="26">
        <f>DATA_CLEANING!H72</f>
        <v>1</v>
      </c>
      <c r="L72" t="str">
        <f>DATA_CLEANING!C72</f>
        <v>CUST-175</v>
      </c>
      <c r="U72" s="5">
        <f>VALUE(DATA_CLEANING!J72)*
IF(VALUE(DATA_CLEANING!J72)&gt;=6000,30%,
IF(VALUE(DATA_CLEANING!J72)&gt;=5000,20%,
IF(VALUE(DATA_CLEANING!J72)&gt;=3000,10%,
IF(VALUE(DATA_CLEANING!J72)&gt;=1000,5%,0))))</f>
        <v>0</v>
      </c>
    </row>
    <row r="73" spans="3:21" x14ac:dyDescent="0.25">
      <c r="C73">
        <f>DATA_CLEANING!J74</f>
        <v>3816.23</v>
      </c>
      <c r="D73">
        <f t="shared" si="3"/>
        <v>190.81150000000002</v>
      </c>
      <c r="E73">
        <f t="shared" si="3"/>
        <v>381.62300000000005</v>
      </c>
      <c r="F73">
        <f t="shared" si="3"/>
        <v>763.24600000000009</v>
      </c>
      <c r="G73">
        <f t="shared" si="3"/>
        <v>1144.8689999999999</v>
      </c>
      <c r="H73" t="str">
        <f>IF(Table3[[#This Row],[Sales Amount]]&gt;500,"Large Order",  "Standard Order")</f>
        <v>Large Order</v>
      </c>
      <c r="I73" t="str">
        <f>IF(AND(Table3[[#This Row],[Sales Amount]]&gt;750,DATA_CLEANING!H74&gt;5), "GREAT ORDER", "LOW ORDER")</f>
        <v>GREAT ORDER</v>
      </c>
      <c r="K73" s="26">
        <f>DATA_CLEANING!H73</f>
        <v>10</v>
      </c>
      <c r="L73" t="str">
        <f>DATA_CLEANING!C73</f>
        <v>CUST-176</v>
      </c>
      <c r="U73" s="5">
        <f>VALUE(DATA_CLEANING!J73)*
IF(VALUE(DATA_CLEANING!J73)&gt;=6000,30%,
IF(VALUE(DATA_CLEANING!J73)&gt;=5000,20%,
IF(VALUE(DATA_CLEANING!J73)&gt;=3000,10%,
IF(VALUE(DATA_CLEANING!J73)&gt;=1000,5%,0))))</f>
        <v>52.635000000000005</v>
      </c>
    </row>
    <row r="74" spans="3:21" x14ac:dyDescent="0.25">
      <c r="C74">
        <f>DATA_CLEANING!J75</f>
        <v>2138.67</v>
      </c>
      <c r="D74">
        <f t="shared" si="3"/>
        <v>106.93350000000001</v>
      </c>
      <c r="E74">
        <f t="shared" si="3"/>
        <v>213.86700000000002</v>
      </c>
      <c r="F74">
        <f t="shared" si="3"/>
        <v>427.73400000000004</v>
      </c>
      <c r="G74">
        <f t="shared" si="3"/>
        <v>641.601</v>
      </c>
      <c r="H74" t="str">
        <f>IF(Table3[[#This Row],[Sales Amount]]&gt;500,"Large Order",  "Standard Order")</f>
        <v>Large Order</v>
      </c>
      <c r="I74" t="str">
        <f>IF(AND(Table3[[#This Row],[Sales Amount]]&gt;750,DATA_CLEANING!H75&gt;5), "GREAT ORDER", "LOW ORDER")</f>
        <v>GREAT ORDER</v>
      </c>
      <c r="K74" s="26">
        <f>DATA_CLEANING!H74</f>
        <v>11</v>
      </c>
      <c r="L74" t="str">
        <f>DATA_CLEANING!C74</f>
        <v>CUST-177</v>
      </c>
      <c r="U74" s="5">
        <f>VALUE(DATA_CLEANING!J74)*
IF(VALUE(DATA_CLEANING!J74)&gt;=6000,30%,
IF(VALUE(DATA_CLEANING!J74)&gt;=5000,20%,
IF(VALUE(DATA_CLEANING!J74)&gt;=3000,10%,
IF(VALUE(DATA_CLEANING!J74)&gt;=1000,5%,0))))</f>
        <v>381.62300000000005</v>
      </c>
    </row>
    <row r="75" spans="3:21" x14ac:dyDescent="0.25">
      <c r="C75">
        <f>DATA_CLEANING!J76</f>
        <v>2972.75</v>
      </c>
      <c r="D75">
        <f t="shared" si="3"/>
        <v>148.63750000000002</v>
      </c>
      <c r="E75">
        <f t="shared" si="3"/>
        <v>297.27500000000003</v>
      </c>
      <c r="F75">
        <f t="shared" si="3"/>
        <v>594.55000000000007</v>
      </c>
      <c r="G75">
        <f t="shared" si="3"/>
        <v>891.82499999999993</v>
      </c>
      <c r="H75" t="str">
        <f>IF(Table3[[#This Row],[Sales Amount]]&gt;500,"Large Order",  "Standard Order")</f>
        <v>Large Order</v>
      </c>
      <c r="I75" t="str">
        <f>IF(AND(Table3[[#This Row],[Sales Amount]]&gt;750,DATA_CLEANING!H76&gt;5), "GREAT ORDER", "LOW ORDER")</f>
        <v>GREAT ORDER</v>
      </c>
      <c r="K75" s="26">
        <f>DATA_CLEANING!H75</f>
        <v>9</v>
      </c>
      <c r="L75" t="str">
        <f>DATA_CLEANING!C75</f>
        <v>CUST-178</v>
      </c>
      <c r="U75" s="5">
        <f>VALUE(DATA_CLEANING!J75)*
IF(VALUE(DATA_CLEANING!J75)&gt;=6000,30%,
IF(VALUE(DATA_CLEANING!J75)&gt;=5000,20%,
IF(VALUE(DATA_CLEANING!J75)&gt;=3000,10%,
IF(VALUE(DATA_CLEANING!J75)&gt;=1000,5%,0))))</f>
        <v>106.93350000000001</v>
      </c>
    </row>
    <row r="76" spans="3:21" x14ac:dyDescent="0.25">
      <c r="C76">
        <f>DATA_CLEANING!J77</f>
        <v>3860.0999999999995</v>
      </c>
      <c r="D76">
        <f t="shared" si="3"/>
        <v>193.005</v>
      </c>
      <c r="E76">
        <f t="shared" si="3"/>
        <v>386.01</v>
      </c>
      <c r="F76">
        <f t="shared" si="3"/>
        <v>772.02</v>
      </c>
      <c r="G76">
        <f t="shared" si="3"/>
        <v>1158.0299999999997</v>
      </c>
      <c r="H76" t="str">
        <f>IF(Table3[[#This Row],[Sales Amount]]&gt;500,"Large Order",  "Standard Order")</f>
        <v>Large Order</v>
      </c>
      <c r="I76" t="str">
        <f>IF(AND(Table3[[#This Row],[Sales Amount]]&gt;750,DATA_CLEANING!H77&gt;5), "GREAT ORDER", "LOW ORDER")</f>
        <v>GREAT ORDER</v>
      </c>
      <c r="K76" s="26">
        <f>DATA_CLEANING!H76</f>
        <v>11</v>
      </c>
      <c r="L76" t="str">
        <f>DATA_CLEANING!C76</f>
        <v>CUST-179</v>
      </c>
      <c r="U76" s="5">
        <f>VALUE(DATA_CLEANING!J76)*
IF(VALUE(DATA_CLEANING!J76)&gt;=6000,30%,
IF(VALUE(DATA_CLEANING!J76)&gt;=5000,20%,
IF(VALUE(DATA_CLEANING!J76)&gt;=3000,10%,
IF(VALUE(DATA_CLEANING!J76)&gt;=1000,5%,0))))</f>
        <v>148.63750000000002</v>
      </c>
    </row>
    <row r="77" spans="3:21" x14ac:dyDescent="0.25">
      <c r="C77">
        <f>DATA_CLEANING!J78</f>
        <v>1704.95</v>
      </c>
      <c r="D77">
        <f t="shared" si="3"/>
        <v>85.247500000000002</v>
      </c>
      <c r="E77">
        <f t="shared" si="3"/>
        <v>170.495</v>
      </c>
      <c r="F77">
        <f t="shared" si="3"/>
        <v>340.99</v>
      </c>
      <c r="G77">
        <f t="shared" si="3"/>
        <v>511.48500000000001</v>
      </c>
      <c r="H77" t="str">
        <f>IF(Table3[[#This Row],[Sales Amount]]&gt;500,"Large Order",  "Standard Order")</f>
        <v>Large Order</v>
      </c>
      <c r="I77" t="str">
        <f>IF(AND(Table3[[#This Row],[Sales Amount]]&gt;750,DATA_CLEANING!H78&gt;5), "GREAT ORDER", "LOW ORDER")</f>
        <v>GREAT ORDER</v>
      </c>
      <c r="K77" s="26">
        <f>DATA_CLEANING!H77</f>
        <v>15</v>
      </c>
      <c r="L77" t="str">
        <f>DATA_CLEANING!C77</f>
        <v>CUST-180</v>
      </c>
      <c r="U77" s="5">
        <f>VALUE(DATA_CLEANING!J77)*
IF(VALUE(DATA_CLEANING!J77)&gt;=6000,30%,
IF(VALUE(DATA_CLEANING!J77)&gt;=5000,20%,
IF(VALUE(DATA_CLEANING!J77)&gt;=3000,10%,
IF(VALUE(DATA_CLEANING!J77)&gt;=1000,5%,0))))</f>
        <v>386.01</v>
      </c>
    </row>
    <row r="78" spans="3:21" x14ac:dyDescent="0.25">
      <c r="C78">
        <f>DATA_CLEANING!J79</f>
        <v>383.76</v>
      </c>
      <c r="D78">
        <f t="shared" si="3"/>
        <v>19.188000000000002</v>
      </c>
      <c r="E78">
        <f t="shared" si="3"/>
        <v>38.376000000000005</v>
      </c>
      <c r="F78">
        <f t="shared" si="3"/>
        <v>76.75200000000001</v>
      </c>
      <c r="G78">
        <f t="shared" si="3"/>
        <v>115.12799999999999</v>
      </c>
      <c r="H78" t="str">
        <f>IF(Table3[[#This Row],[Sales Amount]]&gt;500,"Large Order",  "Standard Order")</f>
        <v>Standard Order</v>
      </c>
      <c r="I78" t="str">
        <f>IF(AND(Table3[[#This Row],[Sales Amount]]&gt;750,DATA_CLEANING!H79&gt;5), "GREAT ORDER", "LOW ORDER")</f>
        <v>LOW ORDER</v>
      </c>
      <c r="K78" s="26">
        <f>DATA_CLEANING!H78</f>
        <v>13</v>
      </c>
      <c r="L78" t="str">
        <f>DATA_CLEANING!C78</f>
        <v>CUST-181</v>
      </c>
      <c r="U78" s="5">
        <f>VALUE(DATA_CLEANING!J78)*
IF(VALUE(DATA_CLEANING!J78)&gt;=6000,30%,
IF(VALUE(DATA_CLEANING!J78)&gt;=5000,20%,
IF(VALUE(DATA_CLEANING!J78)&gt;=3000,10%,
IF(VALUE(DATA_CLEANING!J78)&gt;=1000,5%,0))))</f>
        <v>85.247500000000002</v>
      </c>
    </row>
    <row r="79" spans="3:21" x14ac:dyDescent="0.25">
      <c r="C79">
        <f>DATA_CLEANING!J80</f>
        <v>155.6</v>
      </c>
      <c r="D79">
        <f t="shared" si="3"/>
        <v>7.78</v>
      </c>
      <c r="E79">
        <f t="shared" si="3"/>
        <v>15.56</v>
      </c>
      <c r="F79">
        <f t="shared" si="3"/>
        <v>31.12</v>
      </c>
      <c r="G79">
        <f t="shared" si="3"/>
        <v>46.68</v>
      </c>
      <c r="H79" t="str">
        <f>IF(Table3[[#This Row],[Sales Amount]]&gt;500,"Large Order",  "Standard Order")</f>
        <v>Standard Order</v>
      </c>
      <c r="I79" t="str">
        <f>IF(AND(Table3[[#This Row],[Sales Amount]]&gt;750,DATA_CLEANING!H80&gt;5), "GREAT ORDER", "LOW ORDER")</f>
        <v>LOW ORDER</v>
      </c>
      <c r="K79" s="26">
        <f>DATA_CLEANING!H79</f>
        <v>8</v>
      </c>
      <c r="L79" t="str">
        <f>DATA_CLEANING!C79</f>
        <v>CUST-182</v>
      </c>
      <c r="U79" s="5">
        <f>VALUE(DATA_CLEANING!J79)*
IF(VALUE(DATA_CLEANING!J79)&gt;=6000,30%,
IF(VALUE(DATA_CLEANING!J79)&gt;=5000,20%,
IF(VALUE(DATA_CLEANING!J79)&gt;=3000,10%,
IF(VALUE(DATA_CLEANING!J79)&gt;=1000,5%,0))))</f>
        <v>0</v>
      </c>
    </row>
    <row r="80" spans="3:21" x14ac:dyDescent="0.25">
      <c r="C80">
        <f>DATA_CLEANING!J81</f>
        <v>1204.9099999999999</v>
      </c>
      <c r="D80">
        <f t="shared" si="3"/>
        <v>60.245499999999993</v>
      </c>
      <c r="E80">
        <f t="shared" si="3"/>
        <v>120.49099999999999</v>
      </c>
      <c r="F80">
        <f t="shared" si="3"/>
        <v>240.98199999999997</v>
      </c>
      <c r="G80">
        <f t="shared" si="3"/>
        <v>361.47299999999996</v>
      </c>
      <c r="H80" t="str">
        <f>IF(Table3[[#This Row],[Sales Amount]]&gt;500,"Large Order",  "Standard Order")</f>
        <v>Large Order</v>
      </c>
      <c r="I80" t="str">
        <f>IF(AND(Table3[[#This Row],[Sales Amount]]&gt;750,DATA_CLEANING!H81&gt;5), "GREAT ORDER", "LOW ORDER")</f>
        <v>GREAT ORDER</v>
      </c>
      <c r="K80" s="26">
        <f>DATA_CLEANING!H80</f>
        <v>2</v>
      </c>
      <c r="L80" t="str">
        <f>DATA_CLEANING!C80</f>
        <v>CUST-183</v>
      </c>
      <c r="U80" s="5">
        <f>VALUE(DATA_CLEANING!J80)*
IF(VALUE(DATA_CLEANING!J80)&gt;=6000,30%,
IF(VALUE(DATA_CLEANING!J80)&gt;=5000,20%,
IF(VALUE(DATA_CLEANING!J80)&gt;=3000,10%,
IF(VALUE(DATA_CLEANING!J80)&gt;=1000,5%,0))))</f>
        <v>0</v>
      </c>
    </row>
    <row r="81" spans="3:21" x14ac:dyDescent="0.25">
      <c r="C81">
        <f>DATA_CLEANING!J82</f>
        <v>5808</v>
      </c>
      <c r="D81">
        <f t="shared" si="3"/>
        <v>290.40000000000003</v>
      </c>
      <c r="E81">
        <f t="shared" si="3"/>
        <v>580.80000000000007</v>
      </c>
      <c r="F81">
        <f t="shared" si="3"/>
        <v>1161.6000000000001</v>
      </c>
      <c r="G81">
        <f t="shared" si="3"/>
        <v>1742.3999999999999</v>
      </c>
      <c r="H81" t="str">
        <f>IF(Table3[[#This Row],[Sales Amount]]&gt;500,"Large Order",  "Standard Order")</f>
        <v>Large Order</v>
      </c>
      <c r="I81" t="str">
        <f>IF(AND(Table3[[#This Row],[Sales Amount]]&gt;750,DATA_CLEANING!H82&gt;5), "GREAT ORDER", "LOW ORDER")</f>
        <v>GREAT ORDER</v>
      </c>
      <c r="K81" s="26">
        <f>DATA_CLEANING!H81</f>
        <v>7</v>
      </c>
      <c r="L81" t="str">
        <f>DATA_CLEANING!C81</f>
        <v>CUST-184</v>
      </c>
      <c r="U81" s="5">
        <f>VALUE(DATA_CLEANING!J81)*
IF(VALUE(DATA_CLEANING!J81)&gt;=6000,30%,
IF(VALUE(DATA_CLEANING!J81)&gt;=5000,20%,
IF(VALUE(DATA_CLEANING!J81)&gt;=3000,10%,
IF(VALUE(DATA_CLEANING!J81)&gt;=1000,5%,0))))</f>
        <v>60.245499999999993</v>
      </c>
    </row>
    <row r="82" spans="3:21" x14ac:dyDescent="0.25">
      <c r="C82">
        <f>DATA_CLEANING!J83</f>
        <v>937.92</v>
      </c>
      <c r="D82">
        <f t="shared" ref="D82:G101" si="4">$C82*D$1</f>
        <v>46.896000000000001</v>
      </c>
      <c r="E82">
        <f t="shared" si="4"/>
        <v>93.792000000000002</v>
      </c>
      <c r="F82">
        <f t="shared" si="4"/>
        <v>187.584</v>
      </c>
      <c r="G82">
        <f t="shared" si="4"/>
        <v>281.37599999999998</v>
      </c>
      <c r="H82" t="str">
        <f>IF(Table3[[#This Row],[Sales Amount]]&gt;500,"Large Order",  "Standard Order")</f>
        <v>Large Order</v>
      </c>
      <c r="I82" t="str">
        <f>IF(AND(Table3[[#This Row],[Sales Amount]]&gt;750,DATA_CLEANING!H83&gt;5), "GREAT ORDER", "LOW ORDER")</f>
        <v>GREAT ORDER</v>
      </c>
      <c r="K82" s="26">
        <f>DATA_CLEANING!H82</f>
        <v>15</v>
      </c>
      <c r="L82" t="str">
        <f>DATA_CLEANING!C82</f>
        <v>CUST-185</v>
      </c>
      <c r="U82" s="5">
        <f>VALUE(DATA_CLEANING!J82)*
IF(VALUE(DATA_CLEANING!J82)&gt;=6000,30%,
IF(VALUE(DATA_CLEANING!J82)&gt;=5000,20%,
IF(VALUE(DATA_CLEANING!J82)&gt;=3000,10%,
IF(VALUE(DATA_CLEANING!J82)&gt;=1000,5%,0))))</f>
        <v>1161.6000000000001</v>
      </c>
    </row>
    <row r="83" spans="3:21" x14ac:dyDescent="0.25">
      <c r="C83">
        <f>DATA_CLEANING!J84</f>
        <v>940.16</v>
      </c>
      <c r="D83">
        <f t="shared" si="4"/>
        <v>47.008000000000003</v>
      </c>
      <c r="E83">
        <f t="shared" si="4"/>
        <v>94.016000000000005</v>
      </c>
      <c r="F83">
        <f t="shared" si="4"/>
        <v>188.03200000000001</v>
      </c>
      <c r="G83">
        <f t="shared" si="4"/>
        <v>282.048</v>
      </c>
      <c r="H83" t="str">
        <f>IF(Table3[[#This Row],[Sales Amount]]&gt;500,"Large Order",  "Standard Order")</f>
        <v>Large Order</v>
      </c>
      <c r="I83" t="str">
        <f>IF(AND(Table3[[#This Row],[Sales Amount]]&gt;750,DATA_CLEANING!H84&gt;5), "GREAT ORDER", "LOW ORDER")</f>
        <v>GREAT ORDER</v>
      </c>
      <c r="K83" s="26">
        <f>DATA_CLEANING!H83</f>
        <v>6</v>
      </c>
      <c r="L83" t="str">
        <f>DATA_CLEANING!C83</f>
        <v>CUST-186</v>
      </c>
      <c r="U83" s="5">
        <f>VALUE(DATA_CLEANING!J83)*
IF(VALUE(DATA_CLEANING!J83)&gt;=6000,30%,
IF(VALUE(DATA_CLEANING!J83)&gt;=5000,20%,
IF(VALUE(DATA_CLEANING!J83)&gt;=3000,10%,
IF(VALUE(DATA_CLEANING!J83)&gt;=1000,5%,0))))</f>
        <v>0</v>
      </c>
    </row>
    <row r="84" spans="3:21" x14ac:dyDescent="0.25">
      <c r="C84">
        <f>DATA_CLEANING!J85</f>
        <v>4411.99</v>
      </c>
      <c r="D84">
        <f t="shared" si="4"/>
        <v>220.59950000000001</v>
      </c>
      <c r="E84">
        <f t="shared" si="4"/>
        <v>441.19900000000001</v>
      </c>
      <c r="F84">
        <f t="shared" si="4"/>
        <v>882.39800000000002</v>
      </c>
      <c r="G84">
        <f t="shared" si="4"/>
        <v>1323.597</v>
      </c>
      <c r="H84" t="str">
        <f>IF(Table3[[#This Row],[Sales Amount]]&gt;500,"Large Order",  "Standard Order")</f>
        <v>Large Order</v>
      </c>
      <c r="I84" t="str">
        <f>IF(AND(Table3[[#This Row],[Sales Amount]]&gt;750,DATA_CLEANING!H85&gt;5), "GREAT ORDER", "LOW ORDER")</f>
        <v>GREAT ORDER</v>
      </c>
      <c r="K84" s="26">
        <f>DATA_CLEANING!H84</f>
        <v>8</v>
      </c>
      <c r="L84" t="str">
        <f>DATA_CLEANING!C84</f>
        <v>CUST-187</v>
      </c>
      <c r="U84" s="5">
        <f>VALUE(DATA_CLEANING!J84)*
IF(VALUE(DATA_CLEANING!J84)&gt;=6000,30%,
IF(VALUE(DATA_CLEANING!J84)&gt;=5000,20%,
IF(VALUE(DATA_CLEANING!J84)&gt;=3000,10%,
IF(VALUE(DATA_CLEANING!J84)&gt;=1000,5%,0))))</f>
        <v>0</v>
      </c>
    </row>
    <row r="85" spans="3:21" x14ac:dyDescent="0.25">
      <c r="C85">
        <f>DATA_CLEANING!J86</f>
        <v>454.4</v>
      </c>
      <c r="D85">
        <f t="shared" si="4"/>
        <v>22.72</v>
      </c>
      <c r="E85">
        <f t="shared" si="4"/>
        <v>45.44</v>
      </c>
      <c r="F85">
        <f t="shared" si="4"/>
        <v>90.88</v>
      </c>
      <c r="G85">
        <f t="shared" si="4"/>
        <v>136.32</v>
      </c>
      <c r="H85" t="str">
        <f>IF(Table3[[#This Row],[Sales Amount]]&gt;500,"Large Order",  "Standard Order")</f>
        <v>Standard Order</v>
      </c>
      <c r="I85" t="str">
        <f>IF(AND(Table3[[#This Row],[Sales Amount]]&gt;750,DATA_CLEANING!H86&gt;5), "GREAT ORDER", "LOW ORDER")</f>
        <v>LOW ORDER</v>
      </c>
      <c r="K85" s="26">
        <f>DATA_CLEANING!H85</f>
        <v>11</v>
      </c>
      <c r="L85" t="str">
        <f>DATA_CLEANING!C85</f>
        <v>CUST-188</v>
      </c>
      <c r="U85" s="5">
        <f>VALUE(DATA_CLEANING!J85)*
IF(VALUE(DATA_CLEANING!J85)&gt;=6000,30%,
IF(VALUE(DATA_CLEANING!J85)&gt;=5000,20%,
IF(VALUE(DATA_CLEANING!J85)&gt;=3000,10%,
IF(VALUE(DATA_CLEANING!J85)&gt;=1000,5%,0))))</f>
        <v>441.19900000000001</v>
      </c>
    </row>
    <row r="86" spans="3:21" x14ac:dyDescent="0.25">
      <c r="C86">
        <f>DATA_CLEANING!J87</f>
        <v>3307.22</v>
      </c>
      <c r="D86">
        <f t="shared" si="4"/>
        <v>165.36099999999999</v>
      </c>
      <c r="E86">
        <f t="shared" si="4"/>
        <v>330.72199999999998</v>
      </c>
      <c r="F86">
        <f t="shared" si="4"/>
        <v>661.44399999999996</v>
      </c>
      <c r="G86">
        <f t="shared" si="4"/>
        <v>992.16599999999994</v>
      </c>
      <c r="H86" t="str">
        <f>IF(Table3[[#This Row],[Sales Amount]]&gt;500,"Large Order",  "Standard Order")</f>
        <v>Large Order</v>
      </c>
      <c r="I86" t="str">
        <f>IF(AND(Table3[[#This Row],[Sales Amount]]&gt;750,DATA_CLEANING!H87&gt;5), "GREAT ORDER", "LOW ORDER")</f>
        <v>GREAT ORDER</v>
      </c>
      <c r="K86" s="26">
        <f>DATA_CLEANING!H86</f>
        <v>1</v>
      </c>
      <c r="L86" t="str">
        <f>DATA_CLEANING!C86</f>
        <v>CUST-189</v>
      </c>
      <c r="U86" s="5">
        <f>VALUE(DATA_CLEANING!J86)*
IF(VALUE(DATA_CLEANING!J86)&gt;=6000,30%,
IF(VALUE(DATA_CLEANING!J86)&gt;=5000,20%,
IF(VALUE(DATA_CLEANING!J86)&gt;=3000,10%,
IF(VALUE(DATA_CLEANING!J86)&gt;=1000,5%,0))))</f>
        <v>0</v>
      </c>
    </row>
    <row r="87" spans="3:21" x14ac:dyDescent="0.25">
      <c r="C87">
        <f>DATA_CLEANING!J88</f>
        <v>1052.28</v>
      </c>
      <c r="D87">
        <f t="shared" si="4"/>
        <v>52.614000000000004</v>
      </c>
      <c r="E87">
        <f t="shared" si="4"/>
        <v>105.22800000000001</v>
      </c>
      <c r="F87">
        <f t="shared" si="4"/>
        <v>210.45600000000002</v>
      </c>
      <c r="G87">
        <f t="shared" si="4"/>
        <v>315.68399999999997</v>
      </c>
      <c r="H87" t="str">
        <f>IF(Table3[[#This Row],[Sales Amount]]&gt;500,"Large Order",  "Standard Order")</f>
        <v>Large Order</v>
      </c>
      <c r="I87" t="str">
        <f>IF(AND(Table3[[#This Row],[Sales Amount]]&gt;750,DATA_CLEANING!H88&gt;5), "GREAT ORDER", "LOW ORDER")</f>
        <v>GREAT ORDER</v>
      </c>
      <c r="K87" s="26">
        <f>DATA_CLEANING!H87</f>
        <v>14</v>
      </c>
      <c r="L87" t="str">
        <f>DATA_CLEANING!C87</f>
        <v>CUST-190</v>
      </c>
      <c r="U87" s="5">
        <f>VALUE(DATA_CLEANING!J87)*
IF(VALUE(DATA_CLEANING!J87)&gt;=6000,30%,
IF(VALUE(DATA_CLEANING!J87)&gt;=5000,20%,
IF(VALUE(DATA_CLEANING!J87)&gt;=3000,10%,
IF(VALUE(DATA_CLEANING!J87)&gt;=1000,5%,0))))</f>
        <v>330.72199999999998</v>
      </c>
    </row>
    <row r="88" spans="3:21" x14ac:dyDescent="0.25">
      <c r="C88">
        <f>DATA_CLEANING!J89</f>
        <v>377.02</v>
      </c>
      <c r="D88">
        <f t="shared" si="4"/>
        <v>18.850999999999999</v>
      </c>
      <c r="E88">
        <f t="shared" si="4"/>
        <v>37.701999999999998</v>
      </c>
      <c r="F88">
        <f t="shared" si="4"/>
        <v>75.403999999999996</v>
      </c>
      <c r="G88">
        <f t="shared" si="4"/>
        <v>113.10599999999999</v>
      </c>
      <c r="H88" t="str">
        <f>IF(Table3[[#This Row],[Sales Amount]]&gt;500,"Large Order",  "Standard Order")</f>
        <v>Standard Order</v>
      </c>
      <c r="I88" t="str">
        <f>IF(AND(Table3[[#This Row],[Sales Amount]]&gt;750,DATA_CLEANING!H89&gt;5), "GREAT ORDER", "LOW ORDER")</f>
        <v>LOW ORDER</v>
      </c>
      <c r="K88" s="26">
        <f>DATA_CLEANING!H88</f>
        <v>6</v>
      </c>
      <c r="L88" t="str">
        <f>DATA_CLEANING!C88</f>
        <v>CUST-191</v>
      </c>
      <c r="U88" s="5">
        <f>VALUE(DATA_CLEANING!J88)*
IF(VALUE(DATA_CLEANING!J88)&gt;=6000,30%,
IF(VALUE(DATA_CLEANING!J88)&gt;=5000,20%,
IF(VALUE(DATA_CLEANING!J88)&gt;=3000,10%,
IF(VALUE(DATA_CLEANING!J88)&gt;=1000,5%,0))))</f>
        <v>52.614000000000004</v>
      </c>
    </row>
    <row r="89" spans="3:21" x14ac:dyDescent="0.25">
      <c r="C89">
        <f>DATA_CLEANING!J90</f>
        <v>430.76</v>
      </c>
      <c r="D89">
        <f t="shared" si="4"/>
        <v>21.538</v>
      </c>
      <c r="E89">
        <f t="shared" si="4"/>
        <v>43.076000000000001</v>
      </c>
      <c r="F89">
        <f t="shared" si="4"/>
        <v>86.152000000000001</v>
      </c>
      <c r="G89">
        <f t="shared" si="4"/>
        <v>129.22799999999998</v>
      </c>
      <c r="H89" t="str">
        <f>IF(Table3[[#This Row],[Sales Amount]]&gt;500,"Large Order",  "Standard Order")</f>
        <v>Standard Order</v>
      </c>
      <c r="I89" t="str">
        <f>IF(AND(Table3[[#This Row],[Sales Amount]]&gt;750,DATA_CLEANING!H90&gt;5), "GREAT ORDER", "LOW ORDER")</f>
        <v>LOW ORDER</v>
      </c>
      <c r="K89" s="26">
        <f>DATA_CLEANING!H89</f>
        <v>1</v>
      </c>
      <c r="L89" t="str">
        <f>DATA_CLEANING!C89</f>
        <v>CUST-192</v>
      </c>
      <c r="U89" s="5">
        <f>VALUE(DATA_CLEANING!J89)*
IF(VALUE(DATA_CLEANING!J89)&gt;=6000,30%,
IF(VALUE(DATA_CLEANING!J89)&gt;=5000,20%,
IF(VALUE(DATA_CLEANING!J89)&gt;=3000,10%,
IF(VALUE(DATA_CLEANING!J89)&gt;=1000,5%,0))))</f>
        <v>0</v>
      </c>
    </row>
    <row r="90" spans="3:21" x14ac:dyDescent="0.25">
      <c r="C90">
        <f>DATA_CLEANING!J91</f>
        <v>726.55</v>
      </c>
      <c r="D90">
        <f t="shared" si="4"/>
        <v>36.327500000000001</v>
      </c>
      <c r="E90">
        <f t="shared" si="4"/>
        <v>72.655000000000001</v>
      </c>
      <c r="F90">
        <f t="shared" si="4"/>
        <v>145.31</v>
      </c>
      <c r="G90">
        <f t="shared" si="4"/>
        <v>217.96499999999997</v>
      </c>
      <c r="H90" t="str">
        <f>IF(Table3[[#This Row],[Sales Amount]]&gt;500,"Large Order",  "Standard Order")</f>
        <v>Large Order</v>
      </c>
      <c r="I90" t="str">
        <f>IF(AND(Table3[[#This Row],[Sales Amount]]&gt;750,DATA_CLEANING!H91&gt;5), "GREAT ORDER", "LOW ORDER")</f>
        <v>LOW ORDER</v>
      </c>
      <c r="K90" s="26">
        <f>DATA_CLEANING!H90</f>
        <v>4</v>
      </c>
      <c r="L90" t="str">
        <f>DATA_CLEANING!C90</f>
        <v>CUST-193</v>
      </c>
      <c r="U90" s="5">
        <f>VALUE(DATA_CLEANING!J90)*
IF(VALUE(DATA_CLEANING!J90)&gt;=6000,30%,
IF(VALUE(DATA_CLEANING!J90)&gt;=5000,20%,
IF(VALUE(DATA_CLEANING!J90)&gt;=3000,10%,
IF(VALUE(DATA_CLEANING!J90)&gt;=1000,5%,0))))</f>
        <v>0</v>
      </c>
    </row>
    <row r="91" spans="3:21" x14ac:dyDescent="0.25">
      <c r="C91">
        <f>DATA_CLEANING!J92</f>
        <v>4822.3</v>
      </c>
      <c r="D91">
        <f t="shared" si="4"/>
        <v>241.11500000000001</v>
      </c>
      <c r="E91">
        <f t="shared" si="4"/>
        <v>482.23</v>
      </c>
      <c r="F91">
        <f t="shared" si="4"/>
        <v>964.46</v>
      </c>
      <c r="G91">
        <f t="shared" si="4"/>
        <v>1446.69</v>
      </c>
      <c r="H91" t="str">
        <f>IF(Table3[[#This Row],[Sales Amount]]&gt;500,"Large Order",  "Standard Order")</f>
        <v>Large Order</v>
      </c>
      <c r="I91" t="str">
        <f>IF(AND(Table3[[#This Row],[Sales Amount]]&gt;750,DATA_CLEANING!H92&gt;5), "GREAT ORDER", "LOW ORDER")</f>
        <v>GREAT ORDER</v>
      </c>
      <c r="K91" s="26">
        <f>DATA_CLEANING!H91</f>
        <v>11</v>
      </c>
      <c r="L91" t="str">
        <f>DATA_CLEANING!C91</f>
        <v>CUST-194</v>
      </c>
      <c r="U91" s="5">
        <f>VALUE(DATA_CLEANING!J91)*
IF(VALUE(DATA_CLEANING!J91)&gt;=6000,30%,
IF(VALUE(DATA_CLEANING!J91)&gt;=5000,20%,
IF(VALUE(DATA_CLEANING!J91)&gt;=3000,10%,
IF(VALUE(DATA_CLEANING!J91)&gt;=1000,5%,0))))</f>
        <v>0</v>
      </c>
    </row>
    <row r="92" spans="3:21" x14ac:dyDescent="0.25">
      <c r="C92">
        <f>DATA_CLEANING!J93</f>
        <v>465.15</v>
      </c>
      <c r="D92">
        <f t="shared" si="4"/>
        <v>23.2575</v>
      </c>
      <c r="E92">
        <f t="shared" si="4"/>
        <v>46.515000000000001</v>
      </c>
      <c r="F92">
        <f t="shared" si="4"/>
        <v>93.03</v>
      </c>
      <c r="G92">
        <f t="shared" si="4"/>
        <v>139.54499999999999</v>
      </c>
      <c r="H92" t="str">
        <f>IF(Table3[[#This Row],[Sales Amount]]&gt;500,"Large Order",  "Standard Order")</f>
        <v>Standard Order</v>
      </c>
      <c r="I92" t="str">
        <f>IF(AND(Table3[[#This Row],[Sales Amount]]&gt;750,DATA_CLEANING!H93&gt;5), "GREAT ORDER", "LOW ORDER")</f>
        <v>LOW ORDER</v>
      </c>
      <c r="K92" s="26">
        <f>DATA_CLEANING!H92</f>
        <v>10</v>
      </c>
      <c r="L92" t="str">
        <f>DATA_CLEANING!C92</f>
        <v>CUST-195</v>
      </c>
      <c r="U92" s="5">
        <f>VALUE(DATA_CLEANING!J92)*
IF(VALUE(DATA_CLEANING!J92)&gt;=6000,30%,
IF(VALUE(DATA_CLEANING!J92)&gt;=5000,20%,
IF(VALUE(DATA_CLEANING!J92)&gt;=3000,10%,
IF(VALUE(DATA_CLEANING!J92)&gt;=1000,5%,0))))</f>
        <v>482.23</v>
      </c>
    </row>
    <row r="93" spans="3:21" x14ac:dyDescent="0.25">
      <c r="C93">
        <f>DATA_CLEANING!J94</f>
        <v>3484</v>
      </c>
      <c r="D93">
        <f t="shared" si="4"/>
        <v>174.20000000000002</v>
      </c>
      <c r="E93">
        <f t="shared" si="4"/>
        <v>348.40000000000003</v>
      </c>
      <c r="F93">
        <f t="shared" si="4"/>
        <v>696.80000000000007</v>
      </c>
      <c r="G93">
        <f t="shared" si="4"/>
        <v>1045.2</v>
      </c>
      <c r="H93" t="str">
        <f>IF(Table3[[#This Row],[Sales Amount]]&gt;500,"Large Order",  "Standard Order")</f>
        <v>Large Order</v>
      </c>
      <c r="I93" t="str">
        <f>IF(AND(Table3[[#This Row],[Sales Amount]]&gt;750,DATA_CLEANING!H94&gt;5), "GREAT ORDER", "LOW ORDER")</f>
        <v>GREAT ORDER</v>
      </c>
      <c r="K93" s="26">
        <f>DATA_CLEANING!H93</f>
        <v>1</v>
      </c>
      <c r="L93" t="str">
        <f>DATA_CLEANING!C93</f>
        <v>CUST-196</v>
      </c>
      <c r="U93" s="5">
        <f>VALUE(DATA_CLEANING!J93)*
IF(VALUE(DATA_CLEANING!J93)&gt;=6000,30%,
IF(VALUE(DATA_CLEANING!J93)&gt;=5000,20%,
IF(VALUE(DATA_CLEANING!J93)&gt;=3000,10%,
IF(VALUE(DATA_CLEANING!J93)&gt;=1000,5%,0))))</f>
        <v>0</v>
      </c>
    </row>
    <row r="94" spans="3:21" x14ac:dyDescent="0.25">
      <c r="C94">
        <f>DATA_CLEANING!J95</f>
        <v>6397.04</v>
      </c>
      <c r="D94">
        <f t="shared" si="4"/>
        <v>319.85200000000003</v>
      </c>
      <c r="E94">
        <f t="shared" si="4"/>
        <v>639.70400000000006</v>
      </c>
      <c r="F94">
        <f t="shared" si="4"/>
        <v>1279.4080000000001</v>
      </c>
      <c r="G94">
        <f t="shared" si="4"/>
        <v>1919.1119999999999</v>
      </c>
      <c r="H94" t="str">
        <f>IF(Table3[[#This Row],[Sales Amount]]&gt;500,"Large Order",  "Standard Order")</f>
        <v>Large Order</v>
      </c>
      <c r="I94" t="str">
        <f>IF(AND(Table3[[#This Row],[Sales Amount]]&gt;750,DATA_CLEANING!H95&gt;5), "GREAT ORDER", "LOW ORDER")</f>
        <v>GREAT ORDER</v>
      </c>
      <c r="K94" s="26">
        <f>DATA_CLEANING!H94</f>
        <v>10</v>
      </c>
      <c r="L94" t="str">
        <f>DATA_CLEANING!C94</f>
        <v>CUST-197</v>
      </c>
      <c r="U94" s="5">
        <f>VALUE(DATA_CLEANING!J94)*
IF(VALUE(DATA_CLEANING!J94)&gt;=6000,30%,
IF(VALUE(DATA_CLEANING!J94)&gt;=5000,20%,
IF(VALUE(DATA_CLEANING!J94)&gt;=3000,10%,
IF(VALUE(DATA_CLEANING!J94)&gt;=1000,5%,0))))</f>
        <v>348.40000000000003</v>
      </c>
    </row>
    <row r="95" spans="3:21" x14ac:dyDescent="0.25">
      <c r="C95">
        <f>DATA_CLEANING!J96</f>
        <v>262.74</v>
      </c>
      <c r="D95">
        <f t="shared" si="4"/>
        <v>13.137</v>
      </c>
      <c r="E95">
        <f t="shared" si="4"/>
        <v>26.274000000000001</v>
      </c>
      <c r="F95">
        <f t="shared" si="4"/>
        <v>52.548000000000002</v>
      </c>
      <c r="G95">
        <f t="shared" si="4"/>
        <v>78.822000000000003</v>
      </c>
      <c r="H95" t="str">
        <f>IF(Table3[[#This Row],[Sales Amount]]&gt;500,"Large Order",  "Standard Order")</f>
        <v>Standard Order</v>
      </c>
      <c r="I95" t="str">
        <f>IF(AND(Table3[[#This Row],[Sales Amount]]&gt;750,DATA_CLEANING!H96&gt;5), "GREAT ORDER", "LOW ORDER")</f>
        <v>LOW ORDER</v>
      </c>
      <c r="K95" s="26">
        <f>DATA_CLEANING!H95</f>
        <v>13</v>
      </c>
      <c r="L95" t="str">
        <f>DATA_CLEANING!C95</f>
        <v>CUST-198</v>
      </c>
      <c r="U95" s="5">
        <f>VALUE(DATA_CLEANING!J95)*
IF(VALUE(DATA_CLEANING!J95)&gt;=6000,30%,
IF(VALUE(DATA_CLEANING!J95)&gt;=5000,20%,
IF(VALUE(DATA_CLEANING!J95)&gt;=3000,10%,
IF(VALUE(DATA_CLEANING!J95)&gt;=1000,5%,0))))</f>
        <v>1919.1119999999999</v>
      </c>
    </row>
    <row r="96" spans="3:21" x14ac:dyDescent="0.25">
      <c r="C96">
        <f>DATA_CLEANING!J97</f>
        <v>3365.53</v>
      </c>
      <c r="D96">
        <f t="shared" si="4"/>
        <v>168.27650000000003</v>
      </c>
      <c r="E96">
        <f t="shared" si="4"/>
        <v>336.55300000000005</v>
      </c>
      <c r="F96">
        <f t="shared" si="4"/>
        <v>673.10600000000011</v>
      </c>
      <c r="G96">
        <f t="shared" si="4"/>
        <v>1009.659</v>
      </c>
      <c r="H96" t="str">
        <f>IF(Table3[[#This Row],[Sales Amount]]&gt;500,"Large Order",  "Standard Order")</f>
        <v>Large Order</v>
      </c>
      <c r="I96" t="str">
        <f>IF(AND(Table3[[#This Row],[Sales Amount]]&gt;750,DATA_CLEANING!H97&gt;5), "GREAT ORDER", "LOW ORDER")</f>
        <v>GREAT ORDER</v>
      </c>
      <c r="K96" s="26">
        <f>DATA_CLEANING!H96</f>
        <v>6</v>
      </c>
      <c r="L96" t="str">
        <f>DATA_CLEANING!C96</f>
        <v>CUST-199</v>
      </c>
      <c r="U96" s="5">
        <f>VALUE(DATA_CLEANING!J96)*
IF(VALUE(DATA_CLEANING!J96)&gt;=6000,30%,
IF(VALUE(DATA_CLEANING!J96)&gt;=5000,20%,
IF(VALUE(DATA_CLEANING!J96)&gt;=3000,10%,
IF(VALUE(DATA_CLEANING!J96)&gt;=1000,5%,0))))</f>
        <v>0</v>
      </c>
    </row>
    <row r="97" spans="3:21" x14ac:dyDescent="0.25">
      <c r="C97">
        <f>DATA_CLEANING!J98</f>
        <v>4347.72</v>
      </c>
      <c r="D97">
        <f t="shared" si="4"/>
        <v>217.38600000000002</v>
      </c>
      <c r="E97">
        <f t="shared" si="4"/>
        <v>434.77200000000005</v>
      </c>
      <c r="F97">
        <f t="shared" si="4"/>
        <v>869.5440000000001</v>
      </c>
      <c r="G97">
        <f t="shared" si="4"/>
        <v>1304.316</v>
      </c>
      <c r="H97" t="str">
        <f>IF(Table3[[#This Row],[Sales Amount]]&gt;500,"Large Order",  "Standard Order")</f>
        <v>Large Order</v>
      </c>
      <c r="I97" t="str">
        <f>IF(AND(Table3[[#This Row],[Sales Amount]]&gt;750,DATA_CLEANING!H98&gt;5), "GREAT ORDER", "LOW ORDER")</f>
        <v>GREAT ORDER</v>
      </c>
      <c r="K97" s="26">
        <f>DATA_CLEANING!H97</f>
        <v>7</v>
      </c>
      <c r="L97" t="str">
        <f>DATA_CLEANING!C97</f>
        <v>CUST-200</v>
      </c>
      <c r="U97" s="5">
        <f>VALUE(DATA_CLEANING!J97)*
IF(VALUE(DATA_CLEANING!J97)&gt;=6000,30%,
IF(VALUE(DATA_CLEANING!J97)&gt;=5000,20%,
IF(VALUE(DATA_CLEANING!J97)&gt;=3000,10%,
IF(VALUE(DATA_CLEANING!J97)&gt;=1000,5%,0))))</f>
        <v>336.55300000000005</v>
      </c>
    </row>
    <row r="98" spans="3:21" x14ac:dyDescent="0.25">
      <c r="C98">
        <f>DATA_CLEANING!J99</f>
        <v>5154.8</v>
      </c>
      <c r="D98">
        <f t="shared" si="4"/>
        <v>257.74</v>
      </c>
      <c r="E98">
        <f t="shared" si="4"/>
        <v>515.48</v>
      </c>
      <c r="F98">
        <f t="shared" si="4"/>
        <v>1030.96</v>
      </c>
      <c r="G98">
        <f t="shared" si="4"/>
        <v>1546.44</v>
      </c>
      <c r="H98" t="str">
        <f>IF(Table3[[#This Row],[Sales Amount]]&gt;500,"Large Order",  "Standard Order")</f>
        <v>Large Order</v>
      </c>
      <c r="I98" t="str">
        <f>IF(AND(Table3[[#This Row],[Sales Amount]]&gt;750,DATA_CLEANING!H99&gt;5), "GREAT ORDER", "LOW ORDER")</f>
        <v>GREAT ORDER</v>
      </c>
      <c r="K98" s="26">
        <f>DATA_CLEANING!H98</f>
        <v>9</v>
      </c>
      <c r="L98" t="str">
        <f>DATA_CLEANING!C98</f>
        <v>CUST-201</v>
      </c>
      <c r="U98" s="5">
        <f>VALUE(DATA_CLEANING!J98)*
IF(VALUE(DATA_CLEANING!J98)&gt;=6000,30%,
IF(VALUE(DATA_CLEANING!J98)&gt;=5000,20%,
IF(VALUE(DATA_CLEANING!J98)&gt;=3000,10%,
IF(VALUE(DATA_CLEANING!J98)&gt;=1000,5%,0))))</f>
        <v>434.77200000000005</v>
      </c>
    </row>
    <row r="99" spans="3:21" x14ac:dyDescent="0.25">
      <c r="C99">
        <f>DATA_CLEANING!J100</f>
        <v>1510.92</v>
      </c>
      <c r="D99">
        <f t="shared" si="4"/>
        <v>75.546000000000006</v>
      </c>
      <c r="E99">
        <f t="shared" si="4"/>
        <v>151.09200000000001</v>
      </c>
      <c r="F99">
        <f t="shared" si="4"/>
        <v>302.18400000000003</v>
      </c>
      <c r="G99">
        <f t="shared" si="4"/>
        <v>453.27600000000001</v>
      </c>
      <c r="H99" t="str">
        <f>IF(Table3[[#This Row],[Sales Amount]]&gt;500,"Large Order",  "Standard Order")</f>
        <v>Large Order</v>
      </c>
      <c r="I99" t="str">
        <f>IF(AND(Table3[[#This Row],[Sales Amount]]&gt;750,DATA_CLEANING!H100&gt;5), "GREAT ORDER", "LOW ORDER")</f>
        <v>LOW ORDER</v>
      </c>
      <c r="K99" s="26">
        <f>DATA_CLEANING!H99</f>
        <v>14</v>
      </c>
      <c r="L99" t="str">
        <f>DATA_CLEANING!C99</f>
        <v>CUST-202</v>
      </c>
      <c r="U99" s="5">
        <f>VALUE(DATA_CLEANING!J99)*
IF(VALUE(DATA_CLEANING!J99)&gt;=6000,30%,
IF(VALUE(DATA_CLEANING!J99)&gt;=5000,20%,
IF(VALUE(DATA_CLEANING!J99)&gt;=3000,10%,
IF(VALUE(DATA_CLEANING!J99)&gt;=1000,5%,0))))</f>
        <v>1030.96</v>
      </c>
    </row>
    <row r="100" spans="3:21" x14ac:dyDescent="0.25">
      <c r="C100">
        <f>DATA_CLEANING!J101</f>
        <v>2369.64</v>
      </c>
      <c r="D100">
        <f t="shared" si="4"/>
        <v>118.482</v>
      </c>
      <c r="E100">
        <f t="shared" si="4"/>
        <v>236.964</v>
      </c>
      <c r="F100">
        <f t="shared" si="4"/>
        <v>473.928</v>
      </c>
      <c r="G100">
        <f t="shared" si="4"/>
        <v>710.89199999999994</v>
      </c>
      <c r="H100" t="str">
        <f>IF(Table3[[#This Row],[Sales Amount]]&gt;500,"Large Order",  "Standard Order")</f>
        <v>Large Order</v>
      </c>
      <c r="I100" t="str">
        <f>IF(AND(Table3[[#This Row],[Sales Amount]]&gt;750,DATA_CLEANING!H101&gt;5), "GREAT ORDER", "LOW ORDER")</f>
        <v>GREAT ORDER</v>
      </c>
      <c r="K100" s="26">
        <f>DATA_CLEANING!H100</f>
        <v>4</v>
      </c>
      <c r="L100" t="str">
        <f>DATA_CLEANING!C100</f>
        <v>CUST-203</v>
      </c>
      <c r="U100" s="5">
        <f>VALUE(DATA_CLEANING!J100)*
IF(VALUE(DATA_CLEANING!J100)&gt;=6000,30%,
IF(VALUE(DATA_CLEANING!J100)&gt;=5000,20%,
IF(VALUE(DATA_CLEANING!J100)&gt;=3000,10%,
IF(VALUE(DATA_CLEANING!J100)&gt;=1000,5%,0))))</f>
        <v>75.546000000000006</v>
      </c>
    </row>
    <row r="101" spans="3:21" x14ac:dyDescent="0.25">
      <c r="C101">
        <f>DATA_CLEANING!J102</f>
        <v>4531.8</v>
      </c>
      <c r="D101">
        <f t="shared" si="4"/>
        <v>226.59000000000003</v>
      </c>
      <c r="E101">
        <f t="shared" si="4"/>
        <v>453.18000000000006</v>
      </c>
      <c r="F101">
        <f t="shared" si="4"/>
        <v>906.36000000000013</v>
      </c>
      <c r="G101">
        <f t="shared" si="4"/>
        <v>1359.54</v>
      </c>
      <c r="H101" t="str">
        <f>IF(Table3[[#This Row],[Sales Amount]]&gt;500,"Large Order",  "Standard Order")</f>
        <v>Large Order</v>
      </c>
      <c r="I101" t="str">
        <f>IF(AND(Table3[[#This Row],[Sales Amount]]&gt;750,DATA_CLEANING!H102&gt;5), "GREAT ORDER", "LOW ORDER")</f>
        <v>GREAT ORDER</v>
      </c>
      <c r="K101" s="26">
        <f>DATA_CLEANING!H101</f>
        <v>14</v>
      </c>
      <c r="L101" t="str">
        <f>DATA_CLEANING!C101</f>
        <v>CUST-204</v>
      </c>
      <c r="U101" s="5">
        <f>VALUE(DATA_CLEANING!J101)*
IF(VALUE(DATA_CLEANING!J101)&gt;=6000,30%,
IF(VALUE(DATA_CLEANING!J101)&gt;=5000,20%,
IF(VALUE(DATA_CLEANING!J101)&gt;=3000,10%,
IF(VALUE(DATA_CLEANING!J101)&gt;=1000,5%,0))))</f>
        <v>118.482</v>
      </c>
    </row>
    <row r="102" spans="3:21" x14ac:dyDescent="0.25">
      <c r="C102">
        <f>DATA_CLEANING!J103</f>
        <v>1451.36</v>
      </c>
      <c r="D102">
        <f t="shared" ref="D102:G121" si="5">$C102*D$1</f>
        <v>72.567999999999998</v>
      </c>
      <c r="E102">
        <f t="shared" si="5"/>
        <v>145.136</v>
      </c>
      <c r="F102">
        <f t="shared" si="5"/>
        <v>290.27199999999999</v>
      </c>
      <c r="G102">
        <f t="shared" si="5"/>
        <v>435.40799999999996</v>
      </c>
      <c r="H102" t="str">
        <f>IF(Table3[[#This Row],[Sales Amount]]&gt;500,"Large Order",  "Standard Order")</f>
        <v>Large Order</v>
      </c>
      <c r="I102" t="str">
        <f>IF(AND(Table3[[#This Row],[Sales Amount]]&gt;750,DATA_CLEANING!H103&gt;5), "GREAT ORDER", "LOW ORDER")</f>
        <v>LOW ORDER</v>
      </c>
      <c r="K102" s="26">
        <f>DATA_CLEANING!H102</f>
        <v>15</v>
      </c>
      <c r="L102" t="str">
        <f>DATA_CLEANING!C102</f>
        <v>CUST-205</v>
      </c>
      <c r="U102" s="5">
        <f>VALUE(DATA_CLEANING!J102)*
IF(VALUE(DATA_CLEANING!J102)&gt;=6000,30%,
IF(VALUE(DATA_CLEANING!J102)&gt;=5000,20%,
IF(VALUE(DATA_CLEANING!J102)&gt;=3000,10%,
IF(VALUE(DATA_CLEANING!J102)&gt;=1000,5%,0))))</f>
        <v>453.18000000000006</v>
      </c>
    </row>
    <row r="103" spans="3:21" x14ac:dyDescent="0.25">
      <c r="C103">
        <f>DATA_CLEANING!J104</f>
        <v>239.85</v>
      </c>
      <c r="D103">
        <f t="shared" si="5"/>
        <v>11.9925</v>
      </c>
      <c r="E103">
        <f t="shared" si="5"/>
        <v>23.984999999999999</v>
      </c>
      <c r="F103">
        <f t="shared" si="5"/>
        <v>47.97</v>
      </c>
      <c r="G103">
        <f t="shared" si="5"/>
        <v>71.954999999999998</v>
      </c>
      <c r="H103" t="str">
        <f>IF(Table3[[#This Row],[Sales Amount]]&gt;500,"Large Order",  "Standard Order")</f>
        <v>Standard Order</v>
      </c>
      <c r="I103" t="str">
        <f>IF(AND(Table3[[#This Row],[Sales Amount]]&gt;750,DATA_CLEANING!H104&gt;5), "GREAT ORDER", "LOW ORDER")</f>
        <v>LOW ORDER</v>
      </c>
      <c r="K103" s="26">
        <f>DATA_CLEANING!H103</f>
        <v>4</v>
      </c>
      <c r="L103" t="str">
        <f>DATA_CLEANING!C103</f>
        <v>CUST-206</v>
      </c>
      <c r="U103" s="5">
        <f>VALUE(DATA_CLEANING!J103)*
IF(VALUE(DATA_CLEANING!J103)&gt;=6000,30%,
IF(VALUE(DATA_CLEANING!J103)&gt;=5000,20%,
IF(VALUE(DATA_CLEANING!J103)&gt;=3000,10%,
IF(VALUE(DATA_CLEANING!J103)&gt;=1000,5%,0))))</f>
        <v>72.567999999999998</v>
      </c>
    </row>
    <row r="104" spans="3:21" x14ac:dyDescent="0.25">
      <c r="C104">
        <f>DATA_CLEANING!J105</f>
        <v>1908.1999999999998</v>
      </c>
      <c r="D104">
        <f t="shared" si="5"/>
        <v>95.41</v>
      </c>
      <c r="E104">
        <f t="shared" si="5"/>
        <v>190.82</v>
      </c>
      <c r="F104">
        <f t="shared" si="5"/>
        <v>381.64</v>
      </c>
      <c r="G104">
        <f t="shared" si="5"/>
        <v>572.45999999999992</v>
      </c>
      <c r="H104" t="str">
        <f>IF(Table3[[#This Row],[Sales Amount]]&gt;500,"Large Order",  "Standard Order")</f>
        <v>Large Order</v>
      </c>
      <c r="I104" t="str">
        <f>IF(AND(Table3[[#This Row],[Sales Amount]]&gt;750,DATA_CLEANING!H105&gt;5), "GREAT ORDER", "LOW ORDER")</f>
        <v>GREAT ORDER</v>
      </c>
      <c r="K104" s="26">
        <f>DATA_CLEANING!H104</f>
        <v>13</v>
      </c>
      <c r="L104" t="str">
        <f>DATA_CLEANING!C104</f>
        <v>CUST-207</v>
      </c>
      <c r="U104" s="5">
        <f>VALUE(DATA_CLEANING!J104)*
IF(VALUE(DATA_CLEANING!J104)&gt;=6000,30%,
IF(VALUE(DATA_CLEANING!J104)&gt;=5000,20%,
IF(VALUE(DATA_CLEANING!J104)&gt;=3000,10%,
IF(VALUE(DATA_CLEANING!J104)&gt;=1000,5%,0))))</f>
        <v>0</v>
      </c>
    </row>
    <row r="105" spans="3:21" x14ac:dyDescent="0.25">
      <c r="C105">
        <f>DATA_CLEANING!J106</f>
        <v>2126.3999999999996</v>
      </c>
      <c r="D105">
        <f t="shared" si="5"/>
        <v>106.32</v>
      </c>
      <c r="E105">
        <f t="shared" si="5"/>
        <v>212.64</v>
      </c>
      <c r="F105">
        <f t="shared" si="5"/>
        <v>425.28</v>
      </c>
      <c r="G105">
        <f t="shared" si="5"/>
        <v>637.91999999999985</v>
      </c>
      <c r="H105" t="str">
        <f>IF(Table3[[#This Row],[Sales Amount]]&gt;500,"Large Order",  "Standard Order")</f>
        <v>Large Order</v>
      </c>
      <c r="I105" t="str">
        <f>IF(AND(Table3[[#This Row],[Sales Amount]]&gt;750,DATA_CLEANING!H106&gt;5), "GREAT ORDER", "LOW ORDER")</f>
        <v>GREAT ORDER</v>
      </c>
      <c r="K105" s="26">
        <f>DATA_CLEANING!H105</f>
        <v>10</v>
      </c>
      <c r="L105" t="str">
        <f>DATA_CLEANING!C105</f>
        <v>CUST-208</v>
      </c>
      <c r="U105" s="5">
        <f>VALUE(DATA_CLEANING!J105)*
IF(VALUE(DATA_CLEANING!J105)&gt;=6000,30%,
IF(VALUE(DATA_CLEANING!J105)&gt;=5000,20%,
IF(VALUE(DATA_CLEANING!J105)&gt;=3000,10%,
IF(VALUE(DATA_CLEANING!J105)&gt;=1000,5%,0))))</f>
        <v>95.41</v>
      </c>
    </row>
    <row r="106" spans="3:21" x14ac:dyDescent="0.25">
      <c r="C106">
        <f>DATA_CLEANING!J107</f>
        <v>658.48</v>
      </c>
      <c r="D106">
        <f t="shared" si="5"/>
        <v>32.923999999999999</v>
      </c>
      <c r="E106">
        <f t="shared" si="5"/>
        <v>65.847999999999999</v>
      </c>
      <c r="F106">
        <f t="shared" si="5"/>
        <v>131.696</v>
      </c>
      <c r="G106">
        <f t="shared" si="5"/>
        <v>197.54400000000001</v>
      </c>
      <c r="H106" t="str">
        <f>IF(Table3[[#This Row],[Sales Amount]]&gt;500,"Large Order",  "Standard Order")</f>
        <v>Large Order</v>
      </c>
      <c r="I106" t="str">
        <f>IF(AND(Table3[[#This Row],[Sales Amount]]&gt;750,DATA_CLEANING!H107&gt;5), "GREAT ORDER", "LOW ORDER")</f>
        <v>LOW ORDER</v>
      </c>
      <c r="K106" s="26">
        <f>DATA_CLEANING!H106</f>
        <v>6</v>
      </c>
      <c r="L106" t="str">
        <f>DATA_CLEANING!C106</f>
        <v>CUST-209</v>
      </c>
      <c r="U106" s="5">
        <f>VALUE(DATA_CLEANING!J106)*
IF(VALUE(DATA_CLEANING!J106)&gt;=6000,30%,
IF(VALUE(DATA_CLEANING!J106)&gt;=5000,20%,
IF(VALUE(DATA_CLEANING!J106)&gt;=3000,10%,
IF(VALUE(DATA_CLEANING!J106)&gt;=1000,5%,0))))</f>
        <v>106.32</v>
      </c>
    </row>
    <row r="107" spans="3:21" x14ac:dyDescent="0.25">
      <c r="C107">
        <f>DATA_CLEANING!J108</f>
        <v>1163.8399999999999</v>
      </c>
      <c r="D107">
        <f t="shared" si="5"/>
        <v>58.192</v>
      </c>
      <c r="E107">
        <f t="shared" si="5"/>
        <v>116.384</v>
      </c>
      <c r="F107">
        <f t="shared" si="5"/>
        <v>232.768</v>
      </c>
      <c r="G107">
        <f t="shared" si="5"/>
        <v>349.15199999999999</v>
      </c>
      <c r="H107" t="str">
        <f>IF(Table3[[#This Row],[Sales Amount]]&gt;500,"Large Order",  "Standard Order")</f>
        <v>Large Order</v>
      </c>
      <c r="I107" t="str">
        <f>IF(AND(Table3[[#This Row],[Sales Amount]]&gt;750,DATA_CLEANING!H108&gt;5), "GREAT ORDER", "LOW ORDER")</f>
        <v>GREAT ORDER</v>
      </c>
      <c r="K107" s="26">
        <f>DATA_CLEANING!H107</f>
        <v>4</v>
      </c>
      <c r="L107" t="str">
        <f>DATA_CLEANING!C107</f>
        <v>CUST-210</v>
      </c>
      <c r="U107" s="5">
        <f>VALUE(DATA_CLEANING!J107)*
IF(VALUE(DATA_CLEANING!J107)&gt;=6000,30%,
IF(VALUE(DATA_CLEANING!J107)&gt;=5000,20%,
IF(VALUE(DATA_CLEANING!J107)&gt;=3000,10%,
IF(VALUE(DATA_CLEANING!J107)&gt;=1000,5%,0))))</f>
        <v>0</v>
      </c>
    </row>
    <row r="108" spans="3:21" x14ac:dyDescent="0.25">
      <c r="C108">
        <f>DATA_CLEANING!J109</f>
        <v>607.35</v>
      </c>
      <c r="D108">
        <f t="shared" si="5"/>
        <v>30.367500000000003</v>
      </c>
      <c r="E108">
        <f t="shared" si="5"/>
        <v>60.735000000000007</v>
      </c>
      <c r="F108">
        <f t="shared" si="5"/>
        <v>121.47000000000001</v>
      </c>
      <c r="G108">
        <f t="shared" si="5"/>
        <v>182.20500000000001</v>
      </c>
      <c r="H108" t="str">
        <f>IF(Table3[[#This Row],[Sales Amount]]&gt;500,"Large Order",  "Standard Order")</f>
        <v>Large Order</v>
      </c>
      <c r="I108" t="str">
        <f>IF(AND(Table3[[#This Row],[Sales Amount]]&gt;750,DATA_CLEANING!H109&gt;5), "GREAT ORDER", "LOW ORDER")</f>
        <v>LOW ORDER</v>
      </c>
      <c r="K108" s="26">
        <f>DATA_CLEANING!H108</f>
        <v>8</v>
      </c>
      <c r="L108" t="str">
        <f>DATA_CLEANING!C108</f>
        <v>CUST-211</v>
      </c>
      <c r="U108" s="5">
        <f>VALUE(DATA_CLEANING!J108)*
IF(VALUE(DATA_CLEANING!J108)&gt;=6000,30%,
IF(VALUE(DATA_CLEANING!J108)&gt;=5000,20%,
IF(VALUE(DATA_CLEANING!J108)&gt;=3000,10%,
IF(VALUE(DATA_CLEANING!J108)&gt;=1000,5%,0))))</f>
        <v>58.192</v>
      </c>
    </row>
    <row r="109" spans="3:21" x14ac:dyDescent="0.25">
      <c r="C109">
        <f>DATA_CLEANING!J110</f>
        <v>487.4</v>
      </c>
      <c r="D109">
        <f t="shared" si="5"/>
        <v>24.37</v>
      </c>
      <c r="E109">
        <f t="shared" si="5"/>
        <v>48.74</v>
      </c>
      <c r="F109">
        <f t="shared" si="5"/>
        <v>97.48</v>
      </c>
      <c r="G109">
        <f t="shared" si="5"/>
        <v>146.22</v>
      </c>
      <c r="H109" t="str">
        <f>IF(Table3[[#This Row],[Sales Amount]]&gt;500,"Large Order",  "Standard Order")</f>
        <v>Standard Order</v>
      </c>
      <c r="I109" t="str">
        <f>IF(AND(Table3[[#This Row],[Sales Amount]]&gt;750,DATA_CLEANING!H110&gt;5), "GREAT ORDER", "LOW ORDER")</f>
        <v>LOW ORDER</v>
      </c>
      <c r="K109" s="26">
        <f>DATA_CLEANING!H109</f>
        <v>5</v>
      </c>
      <c r="L109" t="str">
        <f>DATA_CLEANING!C109</f>
        <v>CUST-212</v>
      </c>
      <c r="U109" s="5">
        <f>VALUE(DATA_CLEANING!J109)*
IF(VALUE(DATA_CLEANING!J109)&gt;=6000,30%,
IF(VALUE(DATA_CLEANING!J109)&gt;=5000,20%,
IF(VALUE(DATA_CLEANING!J109)&gt;=3000,10%,
IF(VALUE(DATA_CLEANING!J109)&gt;=1000,5%,0))))</f>
        <v>0</v>
      </c>
    </row>
    <row r="110" spans="3:21" x14ac:dyDescent="0.25">
      <c r="C110">
        <f>DATA_CLEANING!J111</f>
        <v>1493.3000000000002</v>
      </c>
      <c r="D110">
        <f t="shared" si="5"/>
        <v>74.665000000000006</v>
      </c>
      <c r="E110">
        <f t="shared" si="5"/>
        <v>149.33000000000001</v>
      </c>
      <c r="F110">
        <f t="shared" si="5"/>
        <v>298.66000000000003</v>
      </c>
      <c r="G110">
        <f t="shared" si="5"/>
        <v>447.99000000000007</v>
      </c>
      <c r="H110" t="str">
        <f>IF(Table3[[#This Row],[Sales Amount]]&gt;500,"Large Order",  "Standard Order")</f>
        <v>Large Order</v>
      </c>
      <c r="I110" t="str">
        <f>IF(AND(Table3[[#This Row],[Sales Amount]]&gt;750,DATA_CLEANING!H111&gt;5), "GREAT ORDER", "LOW ORDER")</f>
        <v>GREAT ORDER</v>
      </c>
      <c r="K110" s="26">
        <f>DATA_CLEANING!H110</f>
        <v>1</v>
      </c>
      <c r="L110" t="str">
        <f>DATA_CLEANING!C110</f>
        <v>CUST-213</v>
      </c>
      <c r="U110" s="5">
        <f>VALUE(DATA_CLEANING!J110)*
IF(VALUE(DATA_CLEANING!J110)&gt;=6000,30%,
IF(VALUE(DATA_CLEANING!J110)&gt;=5000,20%,
IF(VALUE(DATA_CLEANING!J110)&gt;=3000,10%,
IF(VALUE(DATA_CLEANING!J110)&gt;=1000,5%,0))))</f>
        <v>0</v>
      </c>
    </row>
    <row r="111" spans="3:21" x14ac:dyDescent="0.25">
      <c r="C111">
        <f>DATA_CLEANING!J112</f>
        <v>3417.26</v>
      </c>
      <c r="D111">
        <f t="shared" si="5"/>
        <v>170.86300000000003</v>
      </c>
      <c r="E111">
        <f t="shared" si="5"/>
        <v>341.72600000000006</v>
      </c>
      <c r="F111">
        <f t="shared" si="5"/>
        <v>683.45200000000011</v>
      </c>
      <c r="G111">
        <f t="shared" si="5"/>
        <v>1025.1780000000001</v>
      </c>
      <c r="H111" t="str">
        <f>IF(Table3[[#This Row],[Sales Amount]]&gt;500,"Large Order",  "Standard Order")</f>
        <v>Large Order</v>
      </c>
      <c r="I111" t="str">
        <f>IF(AND(Table3[[#This Row],[Sales Amount]]&gt;750,DATA_CLEANING!H112&gt;5), "GREAT ORDER", "LOW ORDER")</f>
        <v>GREAT ORDER</v>
      </c>
      <c r="K111" s="26">
        <f>DATA_CLEANING!H111</f>
        <v>10</v>
      </c>
      <c r="L111" t="str">
        <f>DATA_CLEANING!C111</f>
        <v>CUST-214</v>
      </c>
      <c r="U111" s="5">
        <f>VALUE(DATA_CLEANING!J111)*
IF(VALUE(DATA_CLEANING!J111)&gt;=6000,30%,
IF(VALUE(DATA_CLEANING!J111)&gt;=5000,20%,
IF(VALUE(DATA_CLEANING!J111)&gt;=3000,10%,
IF(VALUE(DATA_CLEANING!J111)&gt;=1000,5%,0))))</f>
        <v>74.665000000000006</v>
      </c>
    </row>
    <row r="112" spans="3:21" x14ac:dyDescent="0.25">
      <c r="C112">
        <f>DATA_CLEANING!J113</f>
        <v>398.97</v>
      </c>
      <c r="D112">
        <f t="shared" si="5"/>
        <v>19.948500000000003</v>
      </c>
      <c r="E112">
        <f t="shared" si="5"/>
        <v>39.897000000000006</v>
      </c>
      <c r="F112">
        <f t="shared" si="5"/>
        <v>79.794000000000011</v>
      </c>
      <c r="G112">
        <f t="shared" si="5"/>
        <v>119.691</v>
      </c>
      <c r="H112" t="str">
        <f>IF(Table3[[#This Row],[Sales Amount]]&gt;500,"Large Order",  "Standard Order")</f>
        <v>Standard Order</v>
      </c>
      <c r="I112" t="str">
        <f>IF(AND(Table3[[#This Row],[Sales Amount]]&gt;750,DATA_CLEANING!H113&gt;5), "GREAT ORDER", "LOW ORDER")</f>
        <v>LOW ORDER</v>
      </c>
      <c r="K112" s="26">
        <f>DATA_CLEANING!H112</f>
        <v>14</v>
      </c>
      <c r="L112" t="str">
        <f>DATA_CLEANING!C112</f>
        <v>CUST-215</v>
      </c>
      <c r="U112" s="5">
        <f>VALUE(DATA_CLEANING!J112)*
IF(VALUE(DATA_CLEANING!J112)&gt;=6000,30%,
IF(VALUE(DATA_CLEANING!J112)&gt;=5000,20%,
IF(VALUE(DATA_CLEANING!J112)&gt;=3000,10%,
IF(VALUE(DATA_CLEANING!J112)&gt;=1000,5%,0))))</f>
        <v>341.72600000000006</v>
      </c>
    </row>
    <row r="113" spans="3:21" x14ac:dyDescent="0.25">
      <c r="C113">
        <f>DATA_CLEANING!J114</f>
        <v>3461.22</v>
      </c>
      <c r="D113">
        <f t="shared" si="5"/>
        <v>173.06100000000001</v>
      </c>
      <c r="E113">
        <f t="shared" si="5"/>
        <v>346.12200000000001</v>
      </c>
      <c r="F113">
        <f t="shared" si="5"/>
        <v>692.24400000000003</v>
      </c>
      <c r="G113">
        <f t="shared" si="5"/>
        <v>1038.366</v>
      </c>
      <c r="H113" t="str">
        <f>IF(Table3[[#This Row],[Sales Amount]]&gt;500,"Large Order",  "Standard Order")</f>
        <v>Large Order</v>
      </c>
      <c r="I113" t="str">
        <f>IF(AND(Table3[[#This Row],[Sales Amount]]&gt;750,DATA_CLEANING!H114&gt;5), "GREAT ORDER", "LOW ORDER")</f>
        <v>GREAT ORDER</v>
      </c>
      <c r="K113" s="26">
        <f>DATA_CLEANING!H113</f>
        <v>11</v>
      </c>
      <c r="L113" t="str">
        <f>DATA_CLEANING!C113</f>
        <v>CUST-216</v>
      </c>
      <c r="U113" s="5">
        <f>VALUE(DATA_CLEANING!J113)*
IF(VALUE(DATA_CLEANING!J113)&gt;=6000,30%,
IF(VALUE(DATA_CLEANING!J113)&gt;=5000,20%,
IF(VALUE(DATA_CLEANING!J113)&gt;=3000,10%,
IF(VALUE(DATA_CLEANING!J113)&gt;=1000,5%,0))))</f>
        <v>0</v>
      </c>
    </row>
    <row r="114" spans="3:21" x14ac:dyDescent="0.25">
      <c r="C114">
        <f>DATA_CLEANING!J115</f>
        <v>3641.36</v>
      </c>
      <c r="D114">
        <f t="shared" si="5"/>
        <v>182.06800000000001</v>
      </c>
      <c r="E114">
        <f t="shared" si="5"/>
        <v>364.13600000000002</v>
      </c>
      <c r="F114">
        <f t="shared" si="5"/>
        <v>728.27200000000005</v>
      </c>
      <c r="G114">
        <f t="shared" si="5"/>
        <v>1092.4079999999999</v>
      </c>
      <c r="H114" t="str">
        <f>IF(Table3[[#This Row],[Sales Amount]]&gt;500,"Large Order",  "Standard Order")</f>
        <v>Large Order</v>
      </c>
      <c r="I114" t="str">
        <f>IF(AND(Table3[[#This Row],[Sales Amount]]&gt;750,DATA_CLEANING!H115&gt;5), "GREAT ORDER", "LOW ORDER")</f>
        <v>GREAT ORDER</v>
      </c>
      <c r="K114" s="26">
        <f>DATA_CLEANING!H114</f>
        <v>9</v>
      </c>
      <c r="L114" t="str">
        <f>DATA_CLEANING!C114</f>
        <v>CUST-217</v>
      </c>
      <c r="U114" s="5">
        <f>VALUE(DATA_CLEANING!J114)*
IF(VALUE(DATA_CLEANING!J114)&gt;=6000,30%,
IF(VALUE(DATA_CLEANING!J114)&gt;=5000,20%,
IF(VALUE(DATA_CLEANING!J114)&gt;=3000,10%,
IF(VALUE(DATA_CLEANING!J114)&gt;=1000,5%,0))))</f>
        <v>346.12200000000001</v>
      </c>
    </row>
    <row r="115" spans="3:21" x14ac:dyDescent="0.25">
      <c r="C115">
        <f>DATA_CLEANING!J116</f>
        <v>308.72000000000003</v>
      </c>
      <c r="D115">
        <f t="shared" si="5"/>
        <v>15.436000000000002</v>
      </c>
      <c r="E115">
        <f t="shared" si="5"/>
        <v>30.872000000000003</v>
      </c>
      <c r="F115">
        <f t="shared" si="5"/>
        <v>61.744000000000007</v>
      </c>
      <c r="G115">
        <f t="shared" si="5"/>
        <v>92.616</v>
      </c>
      <c r="H115" t="str">
        <f>IF(Table3[[#This Row],[Sales Amount]]&gt;500,"Large Order",  "Standard Order")</f>
        <v>Standard Order</v>
      </c>
      <c r="I115" t="str">
        <f>IF(AND(Table3[[#This Row],[Sales Amount]]&gt;750,DATA_CLEANING!H116&gt;5), "GREAT ORDER", "LOW ORDER")</f>
        <v>LOW ORDER</v>
      </c>
      <c r="K115" s="26">
        <f>DATA_CLEANING!H115</f>
        <v>8</v>
      </c>
      <c r="L115" t="str">
        <f>DATA_CLEANING!C115</f>
        <v>CUST-218</v>
      </c>
      <c r="U115" s="5">
        <f>VALUE(DATA_CLEANING!J115)*
IF(VALUE(DATA_CLEANING!J115)&gt;=6000,30%,
IF(VALUE(DATA_CLEANING!J115)&gt;=5000,20%,
IF(VALUE(DATA_CLEANING!J115)&gt;=3000,10%,
IF(VALUE(DATA_CLEANING!J115)&gt;=1000,5%,0))))</f>
        <v>364.13600000000002</v>
      </c>
    </row>
    <row r="116" spans="3:21" x14ac:dyDescent="0.25">
      <c r="C116">
        <f>DATA_CLEANING!J117</f>
        <v>173.92</v>
      </c>
      <c r="D116">
        <f t="shared" si="5"/>
        <v>8.6959999999999997</v>
      </c>
      <c r="E116">
        <f t="shared" si="5"/>
        <v>17.391999999999999</v>
      </c>
      <c r="F116">
        <f t="shared" si="5"/>
        <v>34.783999999999999</v>
      </c>
      <c r="G116">
        <f t="shared" si="5"/>
        <v>52.175999999999995</v>
      </c>
      <c r="H116" t="str">
        <f>IF(Table3[[#This Row],[Sales Amount]]&gt;500,"Large Order",  "Standard Order")</f>
        <v>Standard Order</v>
      </c>
      <c r="I116" t="str">
        <f>IF(AND(Table3[[#This Row],[Sales Amount]]&gt;750,DATA_CLEANING!H117&gt;5), "GREAT ORDER", "LOW ORDER")</f>
        <v>LOW ORDER</v>
      </c>
      <c r="K116" s="26">
        <f>DATA_CLEANING!H116</f>
        <v>1</v>
      </c>
      <c r="L116" t="str">
        <f>DATA_CLEANING!C116</f>
        <v>CUST-219</v>
      </c>
      <c r="U116" s="5">
        <f>VALUE(DATA_CLEANING!J116)*
IF(VALUE(DATA_CLEANING!J116)&gt;=6000,30%,
IF(VALUE(DATA_CLEANING!J116)&gt;=5000,20%,
IF(VALUE(DATA_CLEANING!J116)&gt;=3000,10%,
IF(VALUE(DATA_CLEANING!J116)&gt;=1000,5%,0))))</f>
        <v>0</v>
      </c>
    </row>
    <row r="117" spans="3:21" x14ac:dyDescent="0.25">
      <c r="C117">
        <f>DATA_CLEANING!J118</f>
        <v>2782.32</v>
      </c>
      <c r="D117">
        <f t="shared" si="5"/>
        <v>139.11600000000001</v>
      </c>
      <c r="E117">
        <f t="shared" si="5"/>
        <v>278.23200000000003</v>
      </c>
      <c r="F117">
        <f t="shared" si="5"/>
        <v>556.46400000000006</v>
      </c>
      <c r="G117">
        <f t="shared" si="5"/>
        <v>834.69600000000003</v>
      </c>
      <c r="H117" t="str">
        <f>IF(Table3[[#This Row],[Sales Amount]]&gt;500,"Large Order",  "Standard Order")</f>
        <v>Large Order</v>
      </c>
      <c r="I117" t="str">
        <f>IF(AND(Table3[[#This Row],[Sales Amount]]&gt;750,DATA_CLEANING!H118&gt;5), "GREAT ORDER", "LOW ORDER")</f>
        <v>GREAT ORDER</v>
      </c>
      <c r="K117" s="26">
        <f>DATA_CLEANING!H117</f>
        <v>2</v>
      </c>
      <c r="L117" t="str">
        <f>DATA_CLEANING!C117</f>
        <v>CUST-220</v>
      </c>
      <c r="U117" s="5">
        <f>VALUE(DATA_CLEANING!J117)*
IF(VALUE(DATA_CLEANING!J117)&gt;=6000,30%,
IF(VALUE(DATA_CLEANING!J117)&gt;=5000,20%,
IF(VALUE(DATA_CLEANING!J117)&gt;=3000,10%,
IF(VALUE(DATA_CLEANING!J117)&gt;=1000,5%,0))))</f>
        <v>0</v>
      </c>
    </row>
    <row r="118" spans="3:21" x14ac:dyDescent="0.25">
      <c r="C118">
        <f>DATA_CLEANING!J119</f>
        <v>1772.3</v>
      </c>
      <c r="D118">
        <f t="shared" si="5"/>
        <v>88.615000000000009</v>
      </c>
      <c r="E118">
        <f t="shared" si="5"/>
        <v>177.23000000000002</v>
      </c>
      <c r="F118">
        <f t="shared" si="5"/>
        <v>354.46000000000004</v>
      </c>
      <c r="G118">
        <f t="shared" si="5"/>
        <v>531.68999999999994</v>
      </c>
      <c r="H118" t="str">
        <f>IF(Table3[[#This Row],[Sales Amount]]&gt;500,"Large Order",  "Standard Order")</f>
        <v>Large Order</v>
      </c>
      <c r="I118" t="str">
        <f>IF(AND(Table3[[#This Row],[Sales Amount]]&gt;750,DATA_CLEANING!H119&gt;5), "GREAT ORDER", "LOW ORDER")</f>
        <v>LOW ORDER</v>
      </c>
      <c r="K118" s="26">
        <f>DATA_CLEANING!H118</f>
        <v>8</v>
      </c>
      <c r="L118" t="str">
        <f>DATA_CLEANING!C118</f>
        <v>CUST-221</v>
      </c>
      <c r="U118" s="5">
        <f>VALUE(DATA_CLEANING!J118)*
IF(VALUE(DATA_CLEANING!J118)&gt;=6000,30%,
IF(VALUE(DATA_CLEANING!J118)&gt;=5000,20%,
IF(VALUE(DATA_CLEANING!J118)&gt;=3000,10%,
IF(VALUE(DATA_CLEANING!J118)&gt;=1000,5%,0))))</f>
        <v>139.11600000000001</v>
      </c>
    </row>
    <row r="119" spans="3:21" x14ac:dyDescent="0.25">
      <c r="C119">
        <f>DATA_CLEANING!J120</f>
        <v>6077.5</v>
      </c>
      <c r="D119">
        <f t="shared" si="5"/>
        <v>303.875</v>
      </c>
      <c r="E119">
        <f t="shared" si="5"/>
        <v>607.75</v>
      </c>
      <c r="F119">
        <f t="shared" si="5"/>
        <v>1215.5</v>
      </c>
      <c r="G119">
        <f t="shared" si="5"/>
        <v>1823.25</v>
      </c>
      <c r="H119" t="str">
        <f>IF(Table3[[#This Row],[Sales Amount]]&gt;500,"Large Order",  "Standard Order")</f>
        <v>Large Order</v>
      </c>
      <c r="I119" t="str">
        <f>IF(AND(Table3[[#This Row],[Sales Amount]]&gt;750,DATA_CLEANING!H120&gt;5), "GREAT ORDER", "LOW ORDER")</f>
        <v>GREAT ORDER</v>
      </c>
      <c r="K119" s="26">
        <f>DATA_CLEANING!H119</f>
        <v>5</v>
      </c>
      <c r="L119" t="str">
        <f>DATA_CLEANING!C119</f>
        <v>CUST-222</v>
      </c>
      <c r="U119" s="5">
        <f>VALUE(DATA_CLEANING!J119)*
IF(VALUE(DATA_CLEANING!J119)&gt;=6000,30%,
IF(VALUE(DATA_CLEANING!J119)&gt;=5000,20%,
IF(VALUE(DATA_CLEANING!J119)&gt;=3000,10%,
IF(VALUE(DATA_CLEANING!J119)&gt;=1000,5%,0))))</f>
        <v>88.615000000000009</v>
      </c>
    </row>
    <row r="120" spans="3:21" x14ac:dyDescent="0.25">
      <c r="C120">
        <f>DATA_CLEANING!J121</f>
        <v>1115.8</v>
      </c>
      <c r="D120">
        <f t="shared" si="5"/>
        <v>55.79</v>
      </c>
      <c r="E120">
        <f t="shared" si="5"/>
        <v>111.58</v>
      </c>
      <c r="F120">
        <f t="shared" si="5"/>
        <v>223.16</v>
      </c>
      <c r="G120">
        <f t="shared" si="5"/>
        <v>334.73999999999995</v>
      </c>
      <c r="H120" t="str">
        <f>IF(Table3[[#This Row],[Sales Amount]]&gt;500,"Large Order",  "Standard Order")</f>
        <v>Large Order</v>
      </c>
      <c r="I120" t="str">
        <f>IF(AND(Table3[[#This Row],[Sales Amount]]&gt;750,DATA_CLEANING!H121&gt;5), "GREAT ORDER", "LOW ORDER")</f>
        <v>GREAT ORDER</v>
      </c>
      <c r="K120" s="26">
        <f>DATA_CLEANING!H120</f>
        <v>13</v>
      </c>
      <c r="L120" t="str">
        <f>DATA_CLEANING!C120</f>
        <v>CUST-223</v>
      </c>
      <c r="U120" s="5">
        <f>VALUE(DATA_CLEANING!J120)*
IF(VALUE(DATA_CLEANING!J120)&gt;=6000,30%,
IF(VALUE(DATA_CLEANING!J120)&gt;=5000,20%,
IF(VALUE(DATA_CLEANING!J120)&gt;=3000,10%,
IF(VALUE(DATA_CLEANING!J120)&gt;=1000,5%,0))))</f>
        <v>1823.25</v>
      </c>
    </row>
    <row r="121" spans="3:21" x14ac:dyDescent="0.25">
      <c r="C121">
        <f>DATA_CLEANING!J122</f>
        <v>567.44000000000005</v>
      </c>
      <c r="D121">
        <f t="shared" si="5"/>
        <v>28.372000000000003</v>
      </c>
      <c r="E121">
        <f t="shared" si="5"/>
        <v>56.744000000000007</v>
      </c>
      <c r="F121">
        <f t="shared" si="5"/>
        <v>113.48800000000001</v>
      </c>
      <c r="G121">
        <f t="shared" si="5"/>
        <v>170.232</v>
      </c>
      <c r="H121" t="str">
        <f>IF(Table3[[#This Row],[Sales Amount]]&gt;500,"Large Order",  "Standard Order")</f>
        <v>Large Order</v>
      </c>
      <c r="I121" t="str">
        <f>IF(AND(Table3[[#This Row],[Sales Amount]]&gt;750,DATA_CLEANING!H122&gt;5), "GREAT ORDER", "LOW ORDER")</f>
        <v>LOW ORDER</v>
      </c>
      <c r="K121" s="26">
        <f>DATA_CLEANING!H121</f>
        <v>14</v>
      </c>
      <c r="L121" t="str">
        <f>DATA_CLEANING!C121</f>
        <v>CUST-224</v>
      </c>
      <c r="U121" s="5">
        <f>VALUE(DATA_CLEANING!J121)*
IF(VALUE(DATA_CLEANING!J121)&gt;=6000,30%,
IF(VALUE(DATA_CLEANING!J121)&gt;=5000,20%,
IF(VALUE(DATA_CLEANING!J121)&gt;=3000,10%,
IF(VALUE(DATA_CLEANING!J121)&gt;=1000,5%,0))))</f>
        <v>55.79</v>
      </c>
    </row>
    <row r="122" spans="3:21" x14ac:dyDescent="0.25">
      <c r="C122">
        <f>DATA_CLEANING!J123</f>
        <v>1796</v>
      </c>
      <c r="D122">
        <f t="shared" ref="D122:G141" si="6">$C122*D$1</f>
        <v>89.800000000000011</v>
      </c>
      <c r="E122">
        <f t="shared" si="6"/>
        <v>179.60000000000002</v>
      </c>
      <c r="F122">
        <f t="shared" si="6"/>
        <v>359.20000000000005</v>
      </c>
      <c r="G122">
        <f t="shared" si="6"/>
        <v>538.79999999999995</v>
      </c>
      <c r="H122" t="str">
        <f>IF(Table3[[#This Row],[Sales Amount]]&gt;500,"Large Order",  "Standard Order")</f>
        <v>Large Order</v>
      </c>
      <c r="I122" t="str">
        <f>IF(AND(Table3[[#This Row],[Sales Amount]]&gt;750,DATA_CLEANING!H123&gt;5), "GREAT ORDER", "LOW ORDER")</f>
        <v>GREAT ORDER</v>
      </c>
      <c r="K122" s="26">
        <f>DATA_CLEANING!H122</f>
        <v>8</v>
      </c>
      <c r="L122" t="str">
        <f>DATA_CLEANING!C122</f>
        <v>CUST-225</v>
      </c>
      <c r="U122" s="5">
        <f>VALUE(DATA_CLEANING!J122)*
IF(VALUE(DATA_CLEANING!J122)&gt;=6000,30%,
IF(VALUE(DATA_CLEANING!J122)&gt;=5000,20%,
IF(VALUE(DATA_CLEANING!J122)&gt;=3000,10%,
IF(VALUE(DATA_CLEANING!J122)&gt;=1000,5%,0))))</f>
        <v>0</v>
      </c>
    </row>
    <row r="123" spans="3:21" x14ac:dyDescent="0.25">
      <c r="C123">
        <f>DATA_CLEANING!J124</f>
        <v>54.75</v>
      </c>
      <c r="D123">
        <f t="shared" si="6"/>
        <v>2.7375000000000003</v>
      </c>
      <c r="E123">
        <f t="shared" si="6"/>
        <v>5.4750000000000005</v>
      </c>
      <c r="F123">
        <f t="shared" si="6"/>
        <v>10.950000000000001</v>
      </c>
      <c r="G123">
        <f t="shared" si="6"/>
        <v>16.425000000000001</v>
      </c>
      <c r="H123" t="str">
        <f>IF(Table3[[#This Row],[Sales Amount]]&gt;500,"Large Order",  "Standard Order")</f>
        <v>Standard Order</v>
      </c>
      <c r="I123" t="str">
        <f>IF(AND(Table3[[#This Row],[Sales Amount]]&gt;750,DATA_CLEANING!H124&gt;5), "GREAT ORDER", "LOW ORDER")</f>
        <v>LOW ORDER</v>
      </c>
      <c r="K123" s="26">
        <f>DATA_CLEANING!H123</f>
        <v>8</v>
      </c>
      <c r="L123" t="str">
        <f>DATA_CLEANING!C123</f>
        <v>CUST-226</v>
      </c>
      <c r="U123" s="5">
        <f>VALUE(DATA_CLEANING!J123)*
IF(VALUE(DATA_CLEANING!J123)&gt;=6000,30%,
IF(VALUE(DATA_CLEANING!J123)&gt;=5000,20%,
IF(VALUE(DATA_CLEANING!J123)&gt;=3000,10%,
IF(VALUE(DATA_CLEANING!J123)&gt;=1000,5%,0))))</f>
        <v>89.800000000000011</v>
      </c>
    </row>
    <row r="124" spans="3:21" x14ac:dyDescent="0.25">
      <c r="C124">
        <f>DATA_CLEANING!J125</f>
        <v>383.92</v>
      </c>
      <c r="D124">
        <f t="shared" si="6"/>
        <v>19.196000000000002</v>
      </c>
      <c r="E124">
        <f t="shared" si="6"/>
        <v>38.392000000000003</v>
      </c>
      <c r="F124">
        <f t="shared" si="6"/>
        <v>76.784000000000006</v>
      </c>
      <c r="G124">
        <f t="shared" si="6"/>
        <v>115.176</v>
      </c>
      <c r="H124" t="str">
        <f>IF(Table3[[#This Row],[Sales Amount]]&gt;500,"Large Order",  "Standard Order")</f>
        <v>Standard Order</v>
      </c>
      <c r="I124" t="str">
        <f>IF(AND(Table3[[#This Row],[Sales Amount]]&gt;750,DATA_CLEANING!H125&gt;5), "GREAT ORDER", "LOW ORDER")</f>
        <v>LOW ORDER</v>
      </c>
      <c r="K124" s="26">
        <f>DATA_CLEANING!H124</f>
        <v>1</v>
      </c>
      <c r="L124" t="str">
        <f>DATA_CLEANING!C124</f>
        <v>CUST-227</v>
      </c>
      <c r="U124" s="5">
        <f>VALUE(DATA_CLEANING!J124)*
IF(VALUE(DATA_CLEANING!J124)&gt;=6000,30%,
IF(VALUE(DATA_CLEANING!J124)&gt;=5000,20%,
IF(VALUE(DATA_CLEANING!J124)&gt;=3000,10%,
IF(VALUE(DATA_CLEANING!J124)&gt;=1000,5%,0))))</f>
        <v>0</v>
      </c>
    </row>
    <row r="125" spans="3:21" x14ac:dyDescent="0.25">
      <c r="C125">
        <f>DATA_CLEANING!J126</f>
        <v>2235.8000000000002</v>
      </c>
      <c r="D125">
        <f t="shared" si="6"/>
        <v>111.79000000000002</v>
      </c>
      <c r="E125">
        <f t="shared" si="6"/>
        <v>223.58000000000004</v>
      </c>
      <c r="F125">
        <f t="shared" si="6"/>
        <v>447.16000000000008</v>
      </c>
      <c r="G125">
        <f t="shared" si="6"/>
        <v>670.74</v>
      </c>
      <c r="H125" t="str">
        <f>IF(Table3[[#This Row],[Sales Amount]]&gt;500,"Large Order",  "Standard Order")</f>
        <v>Large Order</v>
      </c>
      <c r="I125" t="str">
        <f>IF(AND(Table3[[#This Row],[Sales Amount]]&gt;750,DATA_CLEANING!H126&gt;5), "GREAT ORDER", "LOW ORDER")</f>
        <v>GREAT ORDER</v>
      </c>
      <c r="K125" s="26">
        <f>DATA_CLEANING!H125</f>
        <v>1</v>
      </c>
      <c r="L125" t="str">
        <f>DATA_CLEANING!C125</f>
        <v>CUST-228</v>
      </c>
      <c r="U125" s="5">
        <f>VALUE(DATA_CLEANING!J125)*
IF(VALUE(DATA_CLEANING!J125)&gt;=6000,30%,
IF(VALUE(DATA_CLEANING!J125)&gt;=5000,20%,
IF(VALUE(DATA_CLEANING!J125)&gt;=3000,10%,
IF(VALUE(DATA_CLEANING!J125)&gt;=1000,5%,0))))</f>
        <v>0</v>
      </c>
    </row>
    <row r="126" spans="3:21" x14ac:dyDescent="0.25">
      <c r="C126">
        <f>DATA_CLEANING!J127</f>
        <v>2030.22</v>
      </c>
      <c r="D126">
        <f t="shared" si="6"/>
        <v>101.51100000000001</v>
      </c>
      <c r="E126">
        <f t="shared" si="6"/>
        <v>203.02200000000002</v>
      </c>
      <c r="F126">
        <f t="shared" si="6"/>
        <v>406.04400000000004</v>
      </c>
      <c r="G126">
        <f t="shared" si="6"/>
        <v>609.06600000000003</v>
      </c>
      <c r="H126" t="str">
        <f>IF(Table3[[#This Row],[Sales Amount]]&gt;500,"Large Order",  "Standard Order")</f>
        <v>Large Order</v>
      </c>
      <c r="I126" t="str">
        <f>IF(AND(Table3[[#This Row],[Sales Amount]]&gt;750,DATA_CLEANING!H127&gt;5), "GREAT ORDER", "LOW ORDER")</f>
        <v>GREAT ORDER</v>
      </c>
      <c r="K126" s="26">
        <f>DATA_CLEANING!H126</f>
        <v>10</v>
      </c>
      <c r="L126" t="str">
        <f>DATA_CLEANING!C126</f>
        <v>CUST-229</v>
      </c>
      <c r="U126" s="5">
        <f>VALUE(DATA_CLEANING!J126)*
IF(VALUE(DATA_CLEANING!J126)&gt;=6000,30%,
IF(VALUE(DATA_CLEANING!J126)&gt;=5000,20%,
IF(VALUE(DATA_CLEANING!J126)&gt;=3000,10%,
IF(VALUE(DATA_CLEANING!J126)&gt;=1000,5%,0))))</f>
        <v>111.79000000000002</v>
      </c>
    </row>
    <row r="127" spans="3:21" x14ac:dyDescent="0.25">
      <c r="C127">
        <f>DATA_CLEANING!J128</f>
        <v>2860.5499999999997</v>
      </c>
      <c r="D127">
        <f t="shared" si="6"/>
        <v>143.0275</v>
      </c>
      <c r="E127">
        <f t="shared" si="6"/>
        <v>286.05500000000001</v>
      </c>
      <c r="F127">
        <f t="shared" si="6"/>
        <v>572.11</v>
      </c>
      <c r="G127">
        <f t="shared" si="6"/>
        <v>858.16499999999985</v>
      </c>
      <c r="H127" t="str">
        <f>IF(Table3[[#This Row],[Sales Amount]]&gt;500,"Large Order",  "Standard Order")</f>
        <v>Large Order</v>
      </c>
      <c r="I127" t="str">
        <f>IF(AND(Table3[[#This Row],[Sales Amount]]&gt;750,DATA_CLEANING!H128&gt;5), "GREAT ORDER", "LOW ORDER")</f>
        <v>GREAT ORDER</v>
      </c>
      <c r="K127" s="26">
        <f>DATA_CLEANING!H127</f>
        <v>6</v>
      </c>
      <c r="L127" t="str">
        <f>DATA_CLEANING!C127</f>
        <v>CUST-230</v>
      </c>
      <c r="U127" s="5">
        <f>VALUE(DATA_CLEANING!J127)*
IF(VALUE(DATA_CLEANING!J127)&gt;=6000,30%,
IF(VALUE(DATA_CLEANING!J127)&gt;=5000,20%,
IF(VALUE(DATA_CLEANING!J127)&gt;=3000,10%,
IF(VALUE(DATA_CLEANING!J127)&gt;=1000,5%,0))))</f>
        <v>101.51100000000001</v>
      </c>
    </row>
    <row r="128" spans="3:21" x14ac:dyDescent="0.25">
      <c r="C128">
        <f>DATA_CLEANING!J129</f>
        <v>400.79999999999995</v>
      </c>
      <c r="D128">
        <f t="shared" si="6"/>
        <v>20.04</v>
      </c>
      <c r="E128">
        <f t="shared" si="6"/>
        <v>40.08</v>
      </c>
      <c r="F128">
        <f t="shared" si="6"/>
        <v>80.16</v>
      </c>
      <c r="G128">
        <f t="shared" si="6"/>
        <v>120.23999999999998</v>
      </c>
      <c r="H128" t="str">
        <f>IF(Table3[[#This Row],[Sales Amount]]&gt;500,"Large Order",  "Standard Order")</f>
        <v>Standard Order</v>
      </c>
      <c r="I128" t="str">
        <f>IF(AND(Table3[[#This Row],[Sales Amount]]&gt;750,DATA_CLEANING!H129&gt;5), "GREAT ORDER", "LOW ORDER")</f>
        <v>LOW ORDER</v>
      </c>
      <c r="K128" s="26">
        <f>DATA_CLEANING!H128</f>
        <v>7</v>
      </c>
      <c r="L128" t="str">
        <f>DATA_CLEANING!C128</f>
        <v>CUST-231</v>
      </c>
      <c r="U128" s="5">
        <f>VALUE(DATA_CLEANING!J128)*
IF(VALUE(DATA_CLEANING!J128)&gt;=6000,30%,
IF(VALUE(DATA_CLEANING!J128)&gt;=5000,20%,
IF(VALUE(DATA_CLEANING!J128)&gt;=3000,10%,
IF(VALUE(DATA_CLEANING!J128)&gt;=1000,5%,0))))</f>
        <v>143.0275</v>
      </c>
    </row>
    <row r="129" spans="3:21" x14ac:dyDescent="0.25">
      <c r="C129">
        <f>DATA_CLEANING!J130</f>
        <v>255.92000000000002</v>
      </c>
      <c r="D129">
        <f t="shared" si="6"/>
        <v>12.796000000000001</v>
      </c>
      <c r="E129">
        <f t="shared" si="6"/>
        <v>25.592000000000002</v>
      </c>
      <c r="F129">
        <f t="shared" si="6"/>
        <v>51.184000000000005</v>
      </c>
      <c r="G129">
        <f t="shared" si="6"/>
        <v>76.775999999999996</v>
      </c>
      <c r="H129" t="str">
        <f>IF(Table3[[#This Row],[Sales Amount]]&gt;500,"Large Order",  "Standard Order")</f>
        <v>Standard Order</v>
      </c>
      <c r="I129" t="str">
        <f>IF(AND(Table3[[#This Row],[Sales Amount]]&gt;750,DATA_CLEANING!H130&gt;5), "GREAT ORDER", "LOW ORDER")</f>
        <v>LOW ORDER</v>
      </c>
      <c r="K129" s="26">
        <f>DATA_CLEANING!H129</f>
        <v>6</v>
      </c>
      <c r="L129" t="str">
        <f>DATA_CLEANING!C129</f>
        <v>CUST-232</v>
      </c>
      <c r="U129" s="5">
        <f>VALUE(DATA_CLEANING!J129)*
IF(VALUE(DATA_CLEANING!J129)&gt;=6000,30%,
IF(VALUE(DATA_CLEANING!J129)&gt;=5000,20%,
IF(VALUE(DATA_CLEANING!J129)&gt;=3000,10%,
IF(VALUE(DATA_CLEANING!J129)&gt;=1000,5%,0))))</f>
        <v>0</v>
      </c>
    </row>
    <row r="130" spans="3:21" x14ac:dyDescent="0.25">
      <c r="C130">
        <f>DATA_CLEANING!J131</f>
        <v>563.44000000000005</v>
      </c>
      <c r="D130">
        <f t="shared" si="6"/>
        <v>28.172000000000004</v>
      </c>
      <c r="E130">
        <f t="shared" si="6"/>
        <v>56.344000000000008</v>
      </c>
      <c r="F130">
        <f t="shared" si="6"/>
        <v>112.68800000000002</v>
      </c>
      <c r="G130">
        <f t="shared" si="6"/>
        <v>169.03200000000001</v>
      </c>
      <c r="H130" t="str">
        <f>IF(Table3[[#This Row],[Sales Amount]]&gt;500,"Large Order",  "Standard Order")</f>
        <v>Large Order</v>
      </c>
      <c r="I130" t="str">
        <f>IF(AND(Table3[[#This Row],[Sales Amount]]&gt;750,DATA_CLEANING!H131&gt;5), "GREAT ORDER", "LOW ORDER")</f>
        <v>LOW ORDER</v>
      </c>
      <c r="K130" s="26">
        <f>DATA_CLEANING!H130</f>
        <v>7</v>
      </c>
      <c r="L130" t="str">
        <f>DATA_CLEANING!C130</f>
        <v>CUST-233</v>
      </c>
      <c r="U130" s="5">
        <f>VALUE(DATA_CLEANING!J130)*
IF(VALUE(DATA_CLEANING!J130)&gt;=6000,30%,
IF(VALUE(DATA_CLEANING!J130)&gt;=5000,20%,
IF(VALUE(DATA_CLEANING!J130)&gt;=3000,10%,
IF(VALUE(DATA_CLEANING!J130)&gt;=1000,5%,0))))</f>
        <v>0</v>
      </c>
    </row>
    <row r="131" spans="3:21" x14ac:dyDescent="0.25">
      <c r="C131">
        <f>DATA_CLEANING!J132</f>
        <v>3391.8500000000004</v>
      </c>
      <c r="D131">
        <f t="shared" si="6"/>
        <v>169.59250000000003</v>
      </c>
      <c r="E131">
        <f t="shared" si="6"/>
        <v>339.18500000000006</v>
      </c>
      <c r="F131">
        <f t="shared" si="6"/>
        <v>678.37000000000012</v>
      </c>
      <c r="G131">
        <f t="shared" si="6"/>
        <v>1017.5550000000001</v>
      </c>
      <c r="H131" t="str">
        <f>IF(Table3[[#This Row],[Sales Amount]]&gt;500,"Large Order",  "Standard Order")</f>
        <v>Large Order</v>
      </c>
      <c r="I131" t="str">
        <f>IF(AND(Table3[[#This Row],[Sales Amount]]&gt;750,DATA_CLEANING!H132&gt;5), "GREAT ORDER", "LOW ORDER")</f>
        <v>GREAT ORDER</v>
      </c>
      <c r="K131" s="26">
        <f>DATA_CLEANING!H131</f>
        <v>4</v>
      </c>
      <c r="L131" t="str">
        <f>DATA_CLEANING!C131</f>
        <v>CUST-234</v>
      </c>
      <c r="U131" s="5">
        <f>VALUE(DATA_CLEANING!J131)*
IF(VALUE(DATA_CLEANING!J131)&gt;=6000,30%,
IF(VALUE(DATA_CLEANING!J131)&gt;=5000,20%,
IF(VALUE(DATA_CLEANING!J131)&gt;=3000,10%,
IF(VALUE(DATA_CLEANING!J131)&gt;=1000,5%,0))))</f>
        <v>0</v>
      </c>
    </row>
    <row r="132" spans="3:21" x14ac:dyDescent="0.25">
      <c r="C132">
        <f>DATA_CLEANING!J133</f>
        <v>1889.28</v>
      </c>
      <c r="D132">
        <f t="shared" si="6"/>
        <v>94.463999999999999</v>
      </c>
      <c r="E132">
        <f t="shared" si="6"/>
        <v>188.928</v>
      </c>
      <c r="F132">
        <f t="shared" si="6"/>
        <v>377.85599999999999</v>
      </c>
      <c r="G132">
        <f t="shared" si="6"/>
        <v>566.78399999999999</v>
      </c>
      <c r="H132" t="str">
        <f>IF(Table3[[#This Row],[Sales Amount]]&gt;500,"Large Order",  "Standard Order")</f>
        <v>Large Order</v>
      </c>
      <c r="I132" t="str">
        <f>IF(AND(Table3[[#This Row],[Sales Amount]]&gt;750,DATA_CLEANING!H133&gt;5), "GREAT ORDER", "LOW ORDER")</f>
        <v>GREAT ORDER</v>
      </c>
      <c r="K132" s="26">
        <f>DATA_CLEANING!H132</f>
        <v>11</v>
      </c>
      <c r="L132" t="str">
        <f>DATA_CLEANING!C132</f>
        <v>CUST-235</v>
      </c>
      <c r="U132" s="5">
        <f>VALUE(DATA_CLEANING!J132)*
IF(VALUE(DATA_CLEANING!J132)&gt;=6000,30%,
IF(VALUE(DATA_CLEANING!J132)&gt;=5000,20%,
IF(VALUE(DATA_CLEANING!J132)&gt;=3000,10%,
IF(VALUE(DATA_CLEANING!J132)&gt;=1000,5%,0))))</f>
        <v>339.18500000000006</v>
      </c>
    </row>
    <row r="133" spans="3:21" x14ac:dyDescent="0.25">
      <c r="C133">
        <f>DATA_CLEANING!J134</f>
        <v>5417.0999999999995</v>
      </c>
      <c r="D133">
        <f t="shared" si="6"/>
        <v>270.85499999999996</v>
      </c>
      <c r="E133">
        <f t="shared" si="6"/>
        <v>541.70999999999992</v>
      </c>
      <c r="F133">
        <f t="shared" si="6"/>
        <v>1083.4199999999998</v>
      </c>
      <c r="G133">
        <f t="shared" si="6"/>
        <v>1625.1299999999999</v>
      </c>
      <c r="H133" t="str">
        <f>IF(Table3[[#This Row],[Sales Amount]]&gt;500,"Large Order",  "Standard Order")</f>
        <v>Large Order</v>
      </c>
      <c r="I133" t="str">
        <f>IF(AND(Table3[[#This Row],[Sales Amount]]&gt;750,DATA_CLEANING!H134&gt;5), "GREAT ORDER", "LOW ORDER")</f>
        <v>GREAT ORDER</v>
      </c>
      <c r="K133" s="26">
        <f>DATA_CLEANING!H133</f>
        <v>9</v>
      </c>
      <c r="L133" t="str">
        <f>DATA_CLEANING!C133</f>
        <v>CUST-236</v>
      </c>
      <c r="U133" s="5">
        <f>VALUE(DATA_CLEANING!J133)*
IF(VALUE(DATA_CLEANING!J133)&gt;=6000,30%,
IF(VALUE(DATA_CLEANING!J133)&gt;=5000,20%,
IF(VALUE(DATA_CLEANING!J133)&gt;=3000,10%,
IF(VALUE(DATA_CLEANING!J133)&gt;=1000,5%,0))))</f>
        <v>94.463999999999999</v>
      </c>
    </row>
    <row r="134" spans="3:21" x14ac:dyDescent="0.25">
      <c r="C134">
        <f>DATA_CLEANING!J135</f>
        <v>935.32</v>
      </c>
      <c r="D134">
        <f t="shared" si="6"/>
        <v>46.766000000000005</v>
      </c>
      <c r="E134">
        <f t="shared" si="6"/>
        <v>93.532000000000011</v>
      </c>
      <c r="F134">
        <f t="shared" si="6"/>
        <v>187.06400000000002</v>
      </c>
      <c r="G134">
        <f t="shared" si="6"/>
        <v>280.596</v>
      </c>
      <c r="H134" t="str">
        <f>IF(Table3[[#This Row],[Sales Amount]]&gt;500,"Large Order",  "Standard Order")</f>
        <v>Large Order</v>
      </c>
      <c r="I134" t="str">
        <f>IF(AND(Table3[[#This Row],[Sales Amount]]&gt;750,DATA_CLEANING!H135&gt;5), "GREAT ORDER", "LOW ORDER")</f>
        <v>LOW ORDER</v>
      </c>
      <c r="K134" s="26">
        <f>DATA_CLEANING!H134</f>
        <v>15</v>
      </c>
      <c r="L134" t="str">
        <f>DATA_CLEANING!C134</f>
        <v>CUST-237</v>
      </c>
      <c r="U134" s="5">
        <f>VALUE(DATA_CLEANING!J134)*
IF(VALUE(DATA_CLEANING!J134)&gt;=6000,30%,
IF(VALUE(DATA_CLEANING!J134)&gt;=5000,20%,
IF(VALUE(DATA_CLEANING!J134)&gt;=3000,10%,
IF(VALUE(DATA_CLEANING!J134)&gt;=1000,5%,0))))</f>
        <v>1083.4199999999998</v>
      </c>
    </row>
    <row r="135" spans="3:21" x14ac:dyDescent="0.25">
      <c r="C135">
        <f>DATA_CLEANING!J136</f>
        <v>1153.3499999999999</v>
      </c>
      <c r="D135">
        <f t="shared" si="6"/>
        <v>57.667499999999997</v>
      </c>
      <c r="E135">
        <f t="shared" si="6"/>
        <v>115.33499999999999</v>
      </c>
      <c r="F135">
        <f t="shared" si="6"/>
        <v>230.67</v>
      </c>
      <c r="G135">
        <f t="shared" si="6"/>
        <v>346.00499999999994</v>
      </c>
      <c r="H135" t="str">
        <f>IF(Table3[[#This Row],[Sales Amount]]&gt;500,"Large Order",  "Standard Order")</f>
        <v>Large Order</v>
      </c>
      <c r="I135" t="str">
        <f>IF(AND(Table3[[#This Row],[Sales Amount]]&gt;750,DATA_CLEANING!H136&gt;5), "GREAT ORDER", "LOW ORDER")</f>
        <v>GREAT ORDER</v>
      </c>
      <c r="K135" s="26">
        <f>DATA_CLEANING!H135</f>
        <v>4</v>
      </c>
      <c r="L135" t="str">
        <f>DATA_CLEANING!C135</f>
        <v>CUST-238</v>
      </c>
      <c r="U135" s="5">
        <f>VALUE(DATA_CLEANING!J135)*
IF(VALUE(DATA_CLEANING!J135)&gt;=6000,30%,
IF(VALUE(DATA_CLEANING!J135)&gt;=5000,20%,
IF(VALUE(DATA_CLEANING!J135)&gt;=3000,10%,
IF(VALUE(DATA_CLEANING!J135)&gt;=1000,5%,0))))</f>
        <v>0</v>
      </c>
    </row>
    <row r="136" spans="3:21" x14ac:dyDescent="0.25">
      <c r="C136">
        <f>DATA_CLEANING!J137</f>
        <v>157.63999999999999</v>
      </c>
      <c r="D136">
        <f t="shared" si="6"/>
        <v>7.8819999999999997</v>
      </c>
      <c r="E136">
        <f t="shared" si="6"/>
        <v>15.763999999999999</v>
      </c>
      <c r="F136">
        <f t="shared" si="6"/>
        <v>31.527999999999999</v>
      </c>
      <c r="G136">
        <f t="shared" si="6"/>
        <v>47.291999999999994</v>
      </c>
      <c r="H136" t="str">
        <f>IF(Table3[[#This Row],[Sales Amount]]&gt;500,"Large Order",  "Standard Order")</f>
        <v>Standard Order</v>
      </c>
      <c r="I136" t="str">
        <f>IF(AND(Table3[[#This Row],[Sales Amount]]&gt;750,DATA_CLEANING!H137&gt;5), "GREAT ORDER", "LOW ORDER")</f>
        <v>LOW ORDER</v>
      </c>
      <c r="K136" s="26">
        <f>DATA_CLEANING!H136</f>
        <v>15</v>
      </c>
      <c r="L136" t="str">
        <f>DATA_CLEANING!C136</f>
        <v>CUST-239</v>
      </c>
      <c r="U136" s="5">
        <f>VALUE(DATA_CLEANING!J136)*
IF(VALUE(DATA_CLEANING!J136)&gt;=6000,30%,
IF(VALUE(DATA_CLEANING!J136)&gt;=5000,20%,
IF(VALUE(DATA_CLEANING!J136)&gt;=3000,10%,
IF(VALUE(DATA_CLEANING!J136)&gt;=1000,5%,0))))</f>
        <v>57.667499999999997</v>
      </c>
    </row>
    <row r="137" spans="3:21" x14ac:dyDescent="0.25">
      <c r="C137">
        <f>DATA_CLEANING!J138</f>
        <v>2191.1999999999998</v>
      </c>
      <c r="D137">
        <f t="shared" si="6"/>
        <v>109.56</v>
      </c>
      <c r="E137">
        <f t="shared" si="6"/>
        <v>219.12</v>
      </c>
      <c r="F137">
        <f t="shared" si="6"/>
        <v>438.24</v>
      </c>
      <c r="G137">
        <f t="shared" si="6"/>
        <v>657.3599999999999</v>
      </c>
      <c r="H137" t="str">
        <f>IF(Table3[[#This Row],[Sales Amount]]&gt;500,"Large Order",  "Standard Order")</f>
        <v>Large Order</v>
      </c>
      <c r="I137" t="str">
        <f>IF(AND(Table3[[#This Row],[Sales Amount]]&gt;750,DATA_CLEANING!H138&gt;5), "GREAT ORDER", "LOW ORDER")</f>
        <v>GREAT ORDER</v>
      </c>
      <c r="K137" s="26">
        <f>DATA_CLEANING!H137</f>
        <v>14</v>
      </c>
      <c r="L137" t="str">
        <f>DATA_CLEANING!C137</f>
        <v>CUST-240</v>
      </c>
      <c r="U137" s="5">
        <f>VALUE(DATA_CLEANING!J137)*
IF(VALUE(DATA_CLEANING!J137)&gt;=6000,30%,
IF(VALUE(DATA_CLEANING!J137)&gt;=5000,20%,
IF(VALUE(DATA_CLEANING!J137)&gt;=3000,10%,
IF(VALUE(DATA_CLEANING!J137)&gt;=1000,5%,0))))</f>
        <v>0</v>
      </c>
    </row>
    <row r="138" spans="3:21" x14ac:dyDescent="0.25">
      <c r="C138">
        <f>DATA_CLEANING!J139</f>
        <v>2515.0499999999997</v>
      </c>
      <c r="D138">
        <f t="shared" si="6"/>
        <v>125.7525</v>
      </c>
      <c r="E138">
        <f t="shared" si="6"/>
        <v>251.505</v>
      </c>
      <c r="F138">
        <f t="shared" si="6"/>
        <v>503.01</v>
      </c>
      <c r="G138">
        <f t="shared" si="6"/>
        <v>754.51499999999987</v>
      </c>
      <c r="H138" t="str">
        <f>IF(Table3[[#This Row],[Sales Amount]]&gt;500,"Large Order",  "Standard Order")</f>
        <v>Large Order</v>
      </c>
      <c r="I138" t="str">
        <f>IF(AND(Table3[[#This Row],[Sales Amount]]&gt;750,DATA_CLEANING!H139&gt;5), "GREAT ORDER", "LOW ORDER")</f>
        <v>GREAT ORDER</v>
      </c>
      <c r="K138" s="26">
        <f>DATA_CLEANING!H138</f>
        <v>8</v>
      </c>
      <c r="L138" t="str">
        <f>DATA_CLEANING!C138</f>
        <v>CUST-241</v>
      </c>
      <c r="U138" s="5">
        <f>VALUE(DATA_CLEANING!J138)*
IF(VALUE(DATA_CLEANING!J138)&gt;=6000,30%,
IF(VALUE(DATA_CLEANING!J138)&gt;=5000,20%,
IF(VALUE(DATA_CLEANING!J138)&gt;=3000,10%,
IF(VALUE(DATA_CLEANING!J138)&gt;=1000,5%,0))))</f>
        <v>109.56</v>
      </c>
    </row>
    <row r="139" spans="3:21" x14ac:dyDescent="0.25">
      <c r="C139">
        <f>DATA_CLEANING!J140</f>
        <v>5460.28</v>
      </c>
      <c r="D139">
        <f t="shared" si="6"/>
        <v>273.01400000000001</v>
      </c>
      <c r="E139">
        <f t="shared" si="6"/>
        <v>546.02800000000002</v>
      </c>
      <c r="F139">
        <f t="shared" si="6"/>
        <v>1092.056</v>
      </c>
      <c r="G139">
        <f t="shared" si="6"/>
        <v>1638.0839999999998</v>
      </c>
      <c r="H139" t="str">
        <f>IF(Table3[[#This Row],[Sales Amount]]&gt;500,"Large Order",  "Standard Order")</f>
        <v>Large Order</v>
      </c>
      <c r="I139" t="str">
        <f>IF(AND(Table3[[#This Row],[Sales Amount]]&gt;750,DATA_CLEANING!H140&gt;5), "GREAT ORDER", "LOW ORDER")</f>
        <v>GREAT ORDER</v>
      </c>
      <c r="K139" s="26">
        <f>DATA_CLEANING!H139</f>
        <v>15</v>
      </c>
      <c r="L139" t="str">
        <f>DATA_CLEANING!C139</f>
        <v>CUST-242</v>
      </c>
      <c r="U139" s="5">
        <f>VALUE(DATA_CLEANING!J139)*
IF(VALUE(DATA_CLEANING!J139)&gt;=6000,30%,
IF(VALUE(DATA_CLEANING!J139)&gt;=5000,20%,
IF(VALUE(DATA_CLEANING!J139)&gt;=3000,10%,
IF(VALUE(DATA_CLEANING!J139)&gt;=1000,5%,0))))</f>
        <v>125.7525</v>
      </c>
    </row>
    <row r="140" spans="3:21" x14ac:dyDescent="0.25">
      <c r="C140">
        <f>DATA_CLEANING!J141</f>
        <v>5358.21</v>
      </c>
      <c r="D140">
        <f t="shared" si="6"/>
        <v>267.91050000000001</v>
      </c>
      <c r="E140">
        <f t="shared" si="6"/>
        <v>535.82100000000003</v>
      </c>
      <c r="F140">
        <f t="shared" si="6"/>
        <v>1071.6420000000001</v>
      </c>
      <c r="G140">
        <f t="shared" si="6"/>
        <v>1607.463</v>
      </c>
      <c r="H140" t="str">
        <f>IF(Table3[[#This Row],[Sales Amount]]&gt;500,"Large Order",  "Standard Order")</f>
        <v>Large Order</v>
      </c>
      <c r="I140" t="str">
        <f>IF(AND(Table3[[#This Row],[Sales Amount]]&gt;750,DATA_CLEANING!H141&gt;5), "GREAT ORDER", "LOW ORDER")</f>
        <v>GREAT ORDER</v>
      </c>
      <c r="K140" s="26">
        <f>DATA_CLEANING!H140</f>
        <v>14</v>
      </c>
      <c r="L140" t="str">
        <f>DATA_CLEANING!C140</f>
        <v>CUST-243</v>
      </c>
      <c r="U140" s="5">
        <f>VALUE(DATA_CLEANING!J140)*
IF(VALUE(DATA_CLEANING!J140)&gt;=6000,30%,
IF(VALUE(DATA_CLEANING!J140)&gt;=5000,20%,
IF(VALUE(DATA_CLEANING!J140)&gt;=3000,10%,
IF(VALUE(DATA_CLEANING!J140)&gt;=1000,5%,0))))</f>
        <v>1092.056</v>
      </c>
    </row>
    <row r="141" spans="3:21" x14ac:dyDescent="0.25">
      <c r="C141">
        <f>DATA_CLEANING!J142</f>
        <v>2616.8999999999996</v>
      </c>
      <c r="D141">
        <f t="shared" si="6"/>
        <v>130.845</v>
      </c>
      <c r="E141">
        <f t="shared" si="6"/>
        <v>261.69</v>
      </c>
      <c r="F141">
        <f t="shared" si="6"/>
        <v>523.38</v>
      </c>
      <c r="G141">
        <f t="shared" si="6"/>
        <v>785.06999999999982</v>
      </c>
      <c r="H141" t="str">
        <f>IF(Table3[[#This Row],[Sales Amount]]&gt;500,"Large Order",  "Standard Order")</f>
        <v>Large Order</v>
      </c>
      <c r="I141" t="str">
        <f>IF(AND(Table3[[#This Row],[Sales Amount]]&gt;750,DATA_CLEANING!H142&gt;5), "GREAT ORDER", "LOW ORDER")</f>
        <v>GREAT ORDER</v>
      </c>
      <c r="K141" s="26">
        <f>DATA_CLEANING!H141</f>
        <v>13</v>
      </c>
      <c r="L141" t="str">
        <f>DATA_CLEANING!C141</f>
        <v>CUST-244</v>
      </c>
      <c r="U141" s="5">
        <f>VALUE(DATA_CLEANING!J141)*
IF(VALUE(DATA_CLEANING!J141)&gt;=6000,30%,
IF(VALUE(DATA_CLEANING!J141)&gt;=5000,20%,
IF(VALUE(DATA_CLEANING!J141)&gt;=3000,10%,
IF(VALUE(DATA_CLEANING!J141)&gt;=1000,5%,0))))</f>
        <v>1071.6420000000001</v>
      </c>
    </row>
    <row r="142" spans="3:21" x14ac:dyDescent="0.25">
      <c r="C142">
        <f>DATA_CLEANING!J143</f>
        <v>632.66999999999996</v>
      </c>
      <c r="D142">
        <f t="shared" ref="D142:G161" si="7">$C142*D$1</f>
        <v>31.633499999999998</v>
      </c>
      <c r="E142">
        <f t="shared" si="7"/>
        <v>63.266999999999996</v>
      </c>
      <c r="F142">
        <f t="shared" si="7"/>
        <v>126.53399999999999</v>
      </c>
      <c r="G142">
        <f t="shared" si="7"/>
        <v>189.80099999999999</v>
      </c>
      <c r="H142" t="str">
        <f>IF(Table3[[#This Row],[Sales Amount]]&gt;500,"Large Order",  "Standard Order")</f>
        <v>Large Order</v>
      </c>
      <c r="I142" t="str">
        <f>IF(AND(Table3[[#This Row],[Sales Amount]]&gt;750,DATA_CLEANING!H143&gt;5), "GREAT ORDER", "LOW ORDER")</f>
        <v>LOW ORDER</v>
      </c>
      <c r="K142" s="26">
        <f>DATA_CLEANING!H142</f>
        <v>6</v>
      </c>
      <c r="L142" t="str">
        <f>DATA_CLEANING!C142</f>
        <v>CUST-245</v>
      </c>
      <c r="U142" s="5">
        <f>VALUE(DATA_CLEANING!J142)*
IF(VALUE(DATA_CLEANING!J142)&gt;=6000,30%,
IF(VALUE(DATA_CLEANING!J142)&gt;=5000,20%,
IF(VALUE(DATA_CLEANING!J142)&gt;=3000,10%,
IF(VALUE(DATA_CLEANING!J142)&gt;=1000,5%,0))))</f>
        <v>130.845</v>
      </c>
    </row>
    <row r="143" spans="3:21" x14ac:dyDescent="0.25">
      <c r="C143">
        <f>DATA_CLEANING!J144</f>
        <v>3494.3</v>
      </c>
      <c r="D143">
        <f t="shared" si="7"/>
        <v>174.71500000000003</v>
      </c>
      <c r="E143">
        <f t="shared" si="7"/>
        <v>349.43000000000006</v>
      </c>
      <c r="F143">
        <f t="shared" si="7"/>
        <v>698.86000000000013</v>
      </c>
      <c r="G143">
        <f t="shared" si="7"/>
        <v>1048.29</v>
      </c>
      <c r="H143" t="str">
        <f>IF(Table3[[#This Row],[Sales Amount]]&gt;500,"Large Order",  "Standard Order")</f>
        <v>Large Order</v>
      </c>
      <c r="I143" t="str">
        <f>IF(AND(Table3[[#This Row],[Sales Amount]]&gt;750,DATA_CLEANING!H144&gt;5), "GREAT ORDER", "LOW ORDER")</f>
        <v>GREAT ORDER</v>
      </c>
      <c r="K143" s="26">
        <f>DATA_CLEANING!H143</f>
        <v>3</v>
      </c>
      <c r="L143" t="str">
        <f>DATA_CLEANING!C143</f>
        <v>CUST-246</v>
      </c>
      <c r="U143" s="5">
        <f>VALUE(DATA_CLEANING!J143)*
IF(VALUE(DATA_CLEANING!J143)&gt;=6000,30%,
IF(VALUE(DATA_CLEANING!J143)&gt;=5000,20%,
IF(VALUE(DATA_CLEANING!J143)&gt;=3000,10%,
IF(VALUE(DATA_CLEANING!J143)&gt;=1000,5%,0))))</f>
        <v>0</v>
      </c>
    </row>
    <row r="144" spans="3:21" x14ac:dyDescent="0.25">
      <c r="C144">
        <f>DATA_CLEANING!J145</f>
        <v>3983.8700000000003</v>
      </c>
      <c r="D144">
        <f t="shared" si="7"/>
        <v>199.19350000000003</v>
      </c>
      <c r="E144">
        <f t="shared" si="7"/>
        <v>398.38700000000006</v>
      </c>
      <c r="F144">
        <f t="shared" si="7"/>
        <v>796.77400000000011</v>
      </c>
      <c r="G144">
        <f t="shared" si="7"/>
        <v>1195.1610000000001</v>
      </c>
      <c r="H144" t="str">
        <f>IF(Table3[[#This Row],[Sales Amount]]&gt;500,"Large Order",  "Standard Order")</f>
        <v>Large Order</v>
      </c>
      <c r="I144" t="str">
        <f>IF(AND(Table3[[#This Row],[Sales Amount]]&gt;750,DATA_CLEANING!H145&gt;5), "GREAT ORDER", "LOW ORDER")</f>
        <v>GREAT ORDER</v>
      </c>
      <c r="K144" s="26">
        <f>DATA_CLEANING!H144</f>
        <v>10</v>
      </c>
      <c r="L144" t="str">
        <f>DATA_CLEANING!C144</f>
        <v>CUST-247</v>
      </c>
      <c r="U144" s="5">
        <f>VALUE(DATA_CLEANING!J144)*
IF(VALUE(DATA_CLEANING!J144)&gt;=6000,30%,
IF(VALUE(DATA_CLEANING!J144)&gt;=5000,20%,
IF(VALUE(DATA_CLEANING!J144)&gt;=3000,10%,
IF(VALUE(DATA_CLEANING!J144)&gt;=1000,5%,0))))</f>
        <v>349.43000000000006</v>
      </c>
    </row>
    <row r="145" spans="3:21" x14ac:dyDescent="0.25">
      <c r="C145">
        <f>DATA_CLEANING!J146</f>
        <v>1277.08</v>
      </c>
      <c r="D145">
        <f t="shared" si="7"/>
        <v>63.853999999999999</v>
      </c>
      <c r="E145">
        <f t="shared" si="7"/>
        <v>127.708</v>
      </c>
      <c r="F145">
        <f t="shared" si="7"/>
        <v>255.416</v>
      </c>
      <c r="G145">
        <f t="shared" si="7"/>
        <v>383.12399999999997</v>
      </c>
      <c r="H145" t="str">
        <f>IF(Table3[[#This Row],[Sales Amount]]&gt;500,"Large Order",  "Standard Order")</f>
        <v>Large Order</v>
      </c>
      <c r="I145" t="str">
        <f>IF(AND(Table3[[#This Row],[Sales Amount]]&gt;750,DATA_CLEANING!H146&gt;5), "GREAT ORDER", "LOW ORDER")</f>
        <v>LOW ORDER</v>
      </c>
      <c r="K145" s="26">
        <f>DATA_CLEANING!H145</f>
        <v>11</v>
      </c>
      <c r="L145" t="str">
        <f>DATA_CLEANING!C145</f>
        <v>CUST-248</v>
      </c>
      <c r="U145" s="5">
        <f>VALUE(DATA_CLEANING!J145)*
IF(VALUE(DATA_CLEANING!J145)&gt;=6000,30%,
IF(VALUE(DATA_CLEANING!J145)&gt;=5000,20%,
IF(VALUE(DATA_CLEANING!J145)&gt;=3000,10%,
IF(VALUE(DATA_CLEANING!J145)&gt;=1000,5%,0))))</f>
        <v>398.38700000000006</v>
      </c>
    </row>
    <row r="146" spans="3:21" x14ac:dyDescent="0.25">
      <c r="C146">
        <f>DATA_CLEANING!J147</f>
        <v>5250.72</v>
      </c>
      <c r="D146">
        <f t="shared" si="7"/>
        <v>262.536</v>
      </c>
      <c r="E146">
        <f t="shared" si="7"/>
        <v>525.072</v>
      </c>
      <c r="F146">
        <f t="shared" si="7"/>
        <v>1050.144</v>
      </c>
      <c r="G146">
        <f t="shared" si="7"/>
        <v>1575.2160000000001</v>
      </c>
      <c r="H146" t="str">
        <f>IF(Table3[[#This Row],[Sales Amount]]&gt;500,"Large Order",  "Standard Order")</f>
        <v>Large Order</v>
      </c>
      <c r="I146" t="str">
        <f>IF(AND(Table3[[#This Row],[Sales Amount]]&gt;750,DATA_CLEANING!H147&gt;5), "GREAT ORDER", "LOW ORDER")</f>
        <v>GREAT ORDER</v>
      </c>
      <c r="K146" s="26">
        <f>DATA_CLEANING!H146</f>
        <v>4</v>
      </c>
      <c r="L146" t="str">
        <f>DATA_CLEANING!C146</f>
        <v>CUST-249</v>
      </c>
      <c r="U146" s="5">
        <f>VALUE(DATA_CLEANING!J146)*
IF(VALUE(DATA_CLEANING!J146)&gt;=6000,30%,
IF(VALUE(DATA_CLEANING!J146)&gt;=5000,20%,
IF(VALUE(DATA_CLEANING!J146)&gt;=3000,10%,
IF(VALUE(DATA_CLEANING!J146)&gt;=1000,5%,0))))</f>
        <v>63.853999999999999</v>
      </c>
    </row>
    <row r="147" spans="3:21" x14ac:dyDescent="0.25">
      <c r="C147">
        <f>DATA_CLEANING!J148</f>
        <v>487.5</v>
      </c>
      <c r="D147">
        <f t="shared" si="7"/>
        <v>24.375</v>
      </c>
      <c r="E147">
        <f t="shared" si="7"/>
        <v>48.75</v>
      </c>
      <c r="F147">
        <f t="shared" si="7"/>
        <v>97.5</v>
      </c>
      <c r="G147">
        <f t="shared" si="7"/>
        <v>146.25</v>
      </c>
      <c r="H147" t="str">
        <f>IF(Table3[[#This Row],[Sales Amount]]&gt;500,"Large Order",  "Standard Order")</f>
        <v>Standard Order</v>
      </c>
      <c r="I147" t="str">
        <f>IF(AND(Table3[[#This Row],[Sales Amount]]&gt;750,DATA_CLEANING!H148&gt;5), "GREAT ORDER", "LOW ORDER")</f>
        <v>LOW ORDER</v>
      </c>
      <c r="K147" s="26">
        <f>DATA_CLEANING!H147</f>
        <v>12</v>
      </c>
      <c r="L147" t="str">
        <f>DATA_CLEANING!C147</f>
        <v>CUST-250</v>
      </c>
      <c r="U147" s="5">
        <f>VALUE(DATA_CLEANING!J147)*
IF(VALUE(DATA_CLEANING!J147)&gt;=6000,30%,
IF(VALUE(DATA_CLEANING!J147)&gt;=5000,20%,
IF(VALUE(DATA_CLEANING!J147)&gt;=3000,10%,
IF(VALUE(DATA_CLEANING!J147)&gt;=1000,5%,0))))</f>
        <v>1050.144</v>
      </c>
    </row>
    <row r="148" spans="3:21" x14ac:dyDescent="0.25">
      <c r="C148">
        <f>DATA_CLEANING!J149</f>
        <v>2011.1000000000001</v>
      </c>
      <c r="D148">
        <f t="shared" si="7"/>
        <v>100.55500000000001</v>
      </c>
      <c r="E148">
        <f t="shared" si="7"/>
        <v>201.11</v>
      </c>
      <c r="F148">
        <f t="shared" si="7"/>
        <v>402.22</v>
      </c>
      <c r="G148">
        <f t="shared" si="7"/>
        <v>603.33000000000004</v>
      </c>
      <c r="H148" t="str">
        <f>IF(Table3[[#This Row],[Sales Amount]]&gt;500,"Large Order",  "Standard Order")</f>
        <v>Large Order</v>
      </c>
      <c r="I148" t="str">
        <f>IF(AND(Table3[[#This Row],[Sales Amount]]&gt;750,DATA_CLEANING!H149&gt;5), "GREAT ORDER", "LOW ORDER")</f>
        <v>GREAT ORDER</v>
      </c>
      <c r="K148" s="26">
        <f>DATA_CLEANING!H148</f>
        <v>13</v>
      </c>
      <c r="L148" t="str">
        <f>DATA_CLEANING!C148</f>
        <v>CUST-251</v>
      </c>
      <c r="U148" s="5">
        <f>VALUE(DATA_CLEANING!J148)*
IF(VALUE(DATA_CLEANING!J148)&gt;=6000,30%,
IF(VALUE(DATA_CLEANING!J148)&gt;=5000,20%,
IF(VALUE(DATA_CLEANING!J148)&gt;=3000,10%,
IF(VALUE(DATA_CLEANING!J148)&gt;=1000,5%,0))))</f>
        <v>0</v>
      </c>
    </row>
    <row r="149" spans="3:21" x14ac:dyDescent="0.25">
      <c r="C149">
        <f>DATA_CLEANING!J150</f>
        <v>2764.2999999999997</v>
      </c>
      <c r="D149">
        <f t="shared" si="7"/>
        <v>138.215</v>
      </c>
      <c r="E149">
        <f t="shared" si="7"/>
        <v>276.43</v>
      </c>
      <c r="F149">
        <f t="shared" si="7"/>
        <v>552.86</v>
      </c>
      <c r="G149">
        <f t="shared" si="7"/>
        <v>829.28999999999985</v>
      </c>
      <c r="H149" t="str">
        <f>IF(Table3[[#This Row],[Sales Amount]]&gt;500,"Large Order",  "Standard Order")</f>
        <v>Large Order</v>
      </c>
      <c r="I149" t="str">
        <f>IF(AND(Table3[[#This Row],[Sales Amount]]&gt;750,DATA_CLEANING!H150&gt;5), "GREAT ORDER", "LOW ORDER")</f>
        <v>GREAT ORDER</v>
      </c>
      <c r="K149" s="26">
        <f>DATA_CLEANING!H149</f>
        <v>7</v>
      </c>
      <c r="L149" t="str">
        <f>DATA_CLEANING!C149</f>
        <v>CUST-252</v>
      </c>
      <c r="U149" s="5">
        <f>VALUE(DATA_CLEANING!J149)*
IF(VALUE(DATA_CLEANING!J149)&gt;=6000,30%,
IF(VALUE(DATA_CLEANING!J149)&gt;=5000,20%,
IF(VALUE(DATA_CLEANING!J149)&gt;=3000,10%,
IF(VALUE(DATA_CLEANING!J149)&gt;=1000,5%,0))))</f>
        <v>100.55500000000001</v>
      </c>
    </row>
    <row r="150" spans="3:21" x14ac:dyDescent="0.25">
      <c r="C150">
        <f>DATA_CLEANING!J151</f>
        <v>2580.56</v>
      </c>
      <c r="D150">
        <f t="shared" si="7"/>
        <v>129.02799999999999</v>
      </c>
      <c r="E150">
        <f t="shared" si="7"/>
        <v>258.05599999999998</v>
      </c>
      <c r="F150">
        <f t="shared" si="7"/>
        <v>516.11199999999997</v>
      </c>
      <c r="G150">
        <f t="shared" si="7"/>
        <v>774.16800000000001</v>
      </c>
      <c r="H150" t="str">
        <f>IF(Table3[[#This Row],[Sales Amount]]&gt;500,"Large Order",  "Standard Order")</f>
        <v>Large Order</v>
      </c>
      <c r="I150" t="str">
        <f>IF(AND(Table3[[#This Row],[Sales Amount]]&gt;750,DATA_CLEANING!H151&gt;5), "GREAT ORDER", "LOW ORDER")</f>
        <v>GREAT ORDER</v>
      </c>
      <c r="K150" s="26">
        <f>DATA_CLEANING!H150</f>
        <v>14</v>
      </c>
      <c r="L150" t="str">
        <f>DATA_CLEANING!C150</f>
        <v>CUST-253</v>
      </c>
      <c r="U150" s="5">
        <f>VALUE(DATA_CLEANING!J150)*
IF(VALUE(DATA_CLEANING!J150)&gt;=6000,30%,
IF(VALUE(DATA_CLEANING!J150)&gt;=5000,20%,
IF(VALUE(DATA_CLEANING!J150)&gt;=3000,10%,
IF(VALUE(DATA_CLEANING!J150)&gt;=1000,5%,0))))</f>
        <v>138.215</v>
      </c>
    </row>
    <row r="151" spans="3:21" x14ac:dyDescent="0.25">
      <c r="C151">
        <f>DATA_CLEANING!J152</f>
        <v>786.68999999999994</v>
      </c>
      <c r="D151">
        <f t="shared" si="7"/>
        <v>39.334499999999998</v>
      </c>
      <c r="E151">
        <f t="shared" si="7"/>
        <v>78.668999999999997</v>
      </c>
      <c r="F151">
        <f t="shared" si="7"/>
        <v>157.33799999999999</v>
      </c>
      <c r="G151">
        <f t="shared" si="7"/>
        <v>236.00699999999998</v>
      </c>
      <c r="H151" t="str">
        <f>IF(Table3[[#This Row],[Sales Amount]]&gt;500,"Large Order",  "Standard Order")</f>
        <v>Large Order</v>
      </c>
      <c r="I151" t="str">
        <f>IF(AND(Table3[[#This Row],[Sales Amount]]&gt;750,DATA_CLEANING!H152&gt;5), "GREAT ORDER", "LOW ORDER")</f>
        <v>GREAT ORDER</v>
      </c>
      <c r="K151" s="26">
        <f>DATA_CLEANING!H151</f>
        <v>8</v>
      </c>
      <c r="L151" t="str">
        <f>DATA_CLEANING!C151</f>
        <v>CUST-254</v>
      </c>
      <c r="U151" s="5">
        <f>VALUE(DATA_CLEANING!J151)*
IF(VALUE(DATA_CLEANING!J151)&gt;=6000,30%,
IF(VALUE(DATA_CLEANING!J151)&gt;=5000,20%,
IF(VALUE(DATA_CLEANING!J151)&gt;=3000,10%,
IF(VALUE(DATA_CLEANING!J151)&gt;=1000,5%,0))))</f>
        <v>129.02799999999999</v>
      </c>
    </row>
    <row r="152" spans="3:21" x14ac:dyDescent="0.25">
      <c r="C152">
        <f>DATA_CLEANING!J153</f>
        <v>1169.25</v>
      </c>
      <c r="D152">
        <f t="shared" si="7"/>
        <v>58.462500000000006</v>
      </c>
      <c r="E152">
        <f t="shared" si="7"/>
        <v>116.92500000000001</v>
      </c>
      <c r="F152">
        <f t="shared" si="7"/>
        <v>233.85000000000002</v>
      </c>
      <c r="G152">
        <f t="shared" si="7"/>
        <v>350.77499999999998</v>
      </c>
      <c r="H152" t="str">
        <f>IF(Table3[[#This Row],[Sales Amount]]&gt;500,"Large Order",  "Standard Order")</f>
        <v>Large Order</v>
      </c>
      <c r="I152" t="str">
        <f>IF(AND(Table3[[#This Row],[Sales Amount]]&gt;750,DATA_CLEANING!H153&gt;5), "GREAT ORDER", "LOW ORDER")</f>
        <v>LOW ORDER</v>
      </c>
      <c r="K152" s="26">
        <f>DATA_CLEANING!H152</f>
        <v>9</v>
      </c>
      <c r="L152" t="str">
        <f>DATA_CLEANING!C152</f>
        <v>CUST-255</v>
      </c>
      <c r="U152" s="5">
        <f>VALUE(DATA_CLEANING!J152)*
IF(VALUE(DATA_CLEANING!J152)&gt;=6000,30%,
IF(VALUE(DATA_CLEANING!J152)&gt;=5000,20%,
IF(VALUE(DATA_CLEANING!J152)&gt;=3000,10%,
IF(VALUE(DATA_CLEANING!J152)&gt;=1000,5%,0))))</f>
        <v>0</v>
      </c>
    </row>
    <row r="153" spans="3:21" x14ac:dyDescent="0.25">
      <c r="C153">
        <f>DATA_CLEANING!J154</f>
        <v>2031.68</v>
      </c>
      <c r="D153">
        <f t="shared" si="7"/>
        <v>101.584</v>
      </c>
      <c r="E153">
        <f t="shared" si="7"/>
        <v>203.16800000000001</v>
      </c>
      <c r="F153">
        <f t="shared" si="7"/>
        <v>406.33600000000001</v>
      </c>
      <c r="G153">
        <f t="shared" si="7"/>
        <v>609.50400000000002</v>
      </c>
      <c r="H153" t="str">
        <f>IF(Table3[[#This Row],[Sales Amount]]&gt;500,"Large Order",  "Standard Order")</f>
        <v>Large Order</v>
      </c>
      <c r="I153" t="str">
        <f>IF(AND(Table3[[#This Row],[Sales Amount]]&gt;750,DATA_CLEANING!H154&gt;5), "GREAT ORDER", "LOW ORDER")</f>
        <v>GREAT ORDER</v>
      </c>
      <c r="K153" s="26">
        <f>DATA_CLEANING!H153</f>
        <v>5</v>
      </c>
      <c r="L153" t="str">
        <f>DATA_CLEANING!C153</f>
        <v>CUST-256</v>
      </c>
      <c r="U153" s="5">
        <f>VALUE(DATA_CLEANING!J153)*
IF(VALUE(DATA_CLEANING!J153)&gt;=6000,30%,
IF(VALUE(DATA_CLEANING!J153)&gt;=5000,20%,
IF(VALUE(DATA_CLEANING!J153)&gt;=3000,10%,
IF(VALUE(DATA_CLEANING!J153)&gt;=1000,5%,0))))</f>
        <v>58.462500000000006</v>
      </c>
    </row>
    <row r="154" spans="3:21" x14ac:dyDescent="0.25">
      <c r="C154">
        <f>DATA_CLEANING!J155</f>
        <v>287.31</v>
      </c>
      <c r="D154">
        <f t="shared" si="7"/>
        <v>14.365500000000001</v>
      </c>
      <c r="E154">
        <f t="shared" si="7"/>
        <v>28.731000000000002</v>
      </c>
      <c r="F154">
        <f t="shared" si="7"/>
        <v>57.462000000000003</v>
      </c>
      <c r="G154">
        <f t="shared" si="7"/>
        <v>86.192999999999998</v>
      </c>
      <c r="H154" t="str">
        <f>IF(Table3[[#This Row],[Sales Amount]]&gt;500,"Large Order",  "Standard Order")</f>
        <v>Standard Order</v>
      </c>
      <c r="I154" t="str">
        <f>IF(AND(Table3[[#This Row],[Sales Amount]]&gt;750,DATA_CLEANING!H155&gt;5), "GREAT ORDER", "LOW ORDER")</f>
        <v>LOW ORDER</v>
      </c>
      <c r="K154" s="26">
        <f>DATA_CLEANING!H154</f>
        <v>7</v>
      </c>
      <c r="L154" t="str">
        <f>DATA_CLEANING!C154</f>
        <v>CUST-257</v>
      </c>
      <c r="U154" s="5">
        <f>VALUE(DATA_CLEANING!J154)*
IF(VALUE(DATA_CLEANING!J154)&gt;=6000,30%,
IF(VALUE(DATA_CLEANING!J154)&gt;=5000,20%,
IF(VALUE(DATA_CLEANING!J154)&gt;=3000,10%,
IF(VALUE(DATA_CLEANING!J154)&gt;=1000,5%,0))))</f>
        <v>101.584</v>
      </c>
    </row>
    <row r="155" spans="3:21" x14ac:dyDescent="0.25">
      <c r="C155">
        <f>DATA_CLEANING!J156</f>
        <v>4029.5</v>
      </c>
      <c r="D155">
        <f t="shared" si="7"/>
        <v>201.47500000000002</v>
      </c>
      <c r="E155">
        <f t="shared" si="7"/>
        <v>402.95000000000005</v>
      </c>
      <c r="F155">
        <f t="shared" si="7"/>
        <v>805.90000000000009</v>
      </c>
      <c r="G155">
        <f t="shared" si="7"/>
        <v>1208.8499999999999</v>
      </c>
      <c r="H155" t="str">
        <f>IF(Table3[[#This Row],[Sales Amount]]&gt;500,"Large Order",  "Standard Order")</f>
        <v>Large Order</v>
      </c>
      <c r="I155" t="str">
        <f>IF(AND(Table3[[#This Row],[Sales Amount]]&gt;750,DATA_CLEANING!H156&gt;5), "GREAT ORDER", "LOW ORDER")</f>
        <v>GREAT ORDER</v>
      </c>
      <c r="K155" s="26">
        <f>DATA_CLEANING!H155</f>
        <v>1</v>
      </c>
      <c r="L155" t="str">
        <f>DATA_CLEANING!C155</f>
        <v>CUST-258</v>
      </c>
      <c r="U155" s="5">
        <f>VALUE(DATA_CLEANING!J155)*
IF(VALUE(DATA_CLEANING!J155)&gt;=6000,30%,
IF(VALUE(DATA_CLEANING!J155)&gt;=5000,20%,
IF(VALUE(DATA_CLEANING!J155)&gt;=3000,10%,
IF(VALUE(DATA_CLEANING!J155)&gt;=1000,5%,0))))</f>
        <v>0</v>
      </c>
    </row>
    <row r="156" spans="3:21" x14ac:dyDescent="0.25">
      <c r="C156">
        <f>DATA_CLEANING!J157</f>
        <v>4722.25</v>
      </c>
      <c r="D156">
        <f t="shared" si="7"/>
        <v>236.11250000000001</v>
      </c>
      <c r="E156">
        <f t="shared" si="7"/>
        <v>472.22500000000002</v>
      </c>
      <c r="F156">
        <f t="shared" si="7"/>
        <v>944.45</v>
      </c>
      <c r="G156">
        <f t="shared" si="7"/>
        <v>1416.675</v>
      </c>
      <c r="H156" t="str">
        <f>IF(Table3[[#This Row],[Sales Amount]]&gt;500,"Large Order",  "Standard Order")</f>
        <v>Large Order</v>
      </c>
      <c r="I156" t="str">
        <f>IF(AND(Table3[[#This Row],[Sales Amount]]&gt;750,DATA_CLEANING!H157&gt;5), "GREAT ORDER", "LOW ORDER")</f>
        <v>GREAT ORDER</v>
      </c>
      <c r="K156" s="26">
        <f>DATA_CLEANING!H156</f>
        <v>10</v>
      </c>
      <c r="L156" t="str">
        <f>DATA_CLEANING!C156</f>
        <v>CUST-259</v>
      </c>
      <c r="U156" s="5">
        <f>VALUE(DATA_CLEANING!J156)*
IF(VALUE(DATA_CLEANING!J156)&gt;=6000,30%,
IF(VALUE(DATA_CLEANING!J156)&gt;=5000,20%,
IF(VALUE(DATA_CLEANING!J156)&gt;=3000,10%,
IF(VALUE(DATA_CLEANING!J156)&gt;=1000,5%,0))))</f>
        <v>402.95000000000005</v>
      </c>
    </row>
    <row r="157" spans="3:21" x14ac:dyDescent="0.25">
      <c r="C157">
        <f>DATA_CLEANING!J158</f>
        <v>2938</v>
      </c>
      <c r="D157">
        <f t="shared" si="7"/>
        <v>146.9</v>
      </c>
      <c r="E157">
        <f t="shared" si="7"/>
        <v>293.8</v>
      </c>
      <c r="F157">
        <f t="shared" si="7"/>
        <v>587.6</v>
      </c>
      <c r="G157">
        <f t="shared" si="7"/>
        <v>881.4</v>
      </c>
      <c r="H157" t="str">
        <f>IF(Table3[[#This Row],[Sales Amount]]&gt;500,"Large Order",  "Standard Order")</f>
        <v>Large Order</v>
      </c>
      <c r="I157" t="str">
        <f>IF(AND(Table3[[#This Row],[Sales Amount]]&gt;750,DATA_CLEANING!H158&gt;5), "GREAT ORDER", "LOW ORDER")</f>
        <v>GREAT ORDER</v>
      </c>
      <c r="K157" s="26">
        <f>DATA_CLEANING!H157</f>
        <v>13</v>
      </c>
      <c r="L157" t="str">
        <f>DATA_CLEANING!C157</f>
        <v>CUST-260</v>
      </c>
      <c r="U157" s="5">
        <f>VALUE(DATA_CLEANING!J157)*
IF(VALUE(DATA_CLEANING!J157)&gt;=6000,30%,
IF(VALUE(DATA_CLEANING!J157)&gt;=5000,20%,
IF(VALUE(DATA_CLEANING!J157)&gt;=3000,10%,
IF(VALUE(DATA_CLEANING!J157)&gt;=1000,5%,0))))</f>
        <v>472.22500000000002</v>
      </c>
    </row>
    <row r="158" spans="3:21" x14ac:dyDescent="0.25">
      <c r="C158">
        <f>DATA_CLEANING!J159</f>
        <v>2563.1999999999998</v>
      </c>
      <c r="D158">
        <f t="shared" si="7"/>
        <v>128.16</v>
      </c>
      <c r="E158">
        <f t="shared" si="7"/>
        <v>256.32</v>
      </c>
      <c r="F158">
        <f t="shared" si="7"/>
        <v>512.64</v>
      </c>
      <c r="G158">
        <f t="shared" si="7"/>
        <v>768.95999999999992</v>
      </c>
      <c r="H158" t="str">
        <f>IF(Table3[[#This Row],[Sales Amount]]&gt;500,"Large Order",  "Standard Order")</f>
        <v>Large Order</v>
      </c>
      <c r="I158" t="str">
        <f>IF(AND(Table3[[#This Row],[Sales Amount]]&gt;750,DATA_CLEANING!H159&gt;5), "GREAT ORDER", "LOW ORDER")</f>
        <v>GREAT ORDER</v>
      </c>
      <c r="K158" s="26">
        <f>DATA_CLEANING!H158</f>
        <v>13</v>
      </c>
      <c r="L158" t="str">
        <f>DATA_CLEANING!C158</f>
        <v>CUST-261</v>
      </c>
      <c r="U158" s="5">
        <f>VALUE(DATA_CLEANING!J158)*
IF(VALUE(DATA_CLEANING!J158)&gt;=6000,30%,
IF(VALUE(DATA_CLEANING!J158)&gt;=5000,20%,
IF(VALUE(DATA_CLEANING!J158)&gt;=3000,10%,
IF(VALUE(DATA_CLEANING!J158)&gt;=1000,5%,0))))</f>
        <v>146.9</v>
      </c>
    </row>
    <row r="159" spans="3:21" x14ac:dyDescent="0.25">
      <c r="C159">
        <f>DATA_CLEANING!J160</f>
        <v>2153.1</v>
      </c>
      <c r="D159">
        <f t="shared" si="7"/>
        <v>107.655</v>
      </c>
      <c r="E159">
        <f t="shared" si="7"/>
        <v>215.31</v>
      </c>
      <c r="F159">
        <f t="shared" si="7"/>
        <v>430.62</v>
      </c>
      <c r="G159">
        <f t="shared" si="7"/>
        <v>645.92999999999995</v>
      </c>
      <c r="H159" t="str">
        <f>IF(Table3[[#This Row],[Sales Amount]]&gt;500,"Large Order",  "Standard Order")</f>
        <v>Large Order</v>
      </c>
      <c r="I159" t="str">
        <f>IF(AND(Table3[[#This Row],[Sales Amount]]&gt;750,DATA_CLEANING!H160&gt;5), "GREAT ORDER", "LOW ORDER")</f>
        <v>GREAT ORDER</v>
      </c>
      <c r="K159" s="26">
        <f>DATA_CLEANING!H159</f>
        <v>12</v>
      </c>
      <c r="L159" t="str">
        <f>DATA_CLEANING!C159</f>
        <v>CUST-262</v>
      </c>
      <c r="U159" s="5">
        <f>VALUE(DATA_CLEANING!J159)*
IF(VALUE(DATA_CLEANING!J159)&gt;=6000,30%,
IF(VALUE(DATA_CLEANING!J159)&gt;=5000,20%,
IF(VALUE(DATA_CLEANING!J159)&gt;=3000,10%,
IF(VALUE(DATA_CLEANING!J159)&gt;=1000,5%,0))))</f>
        <v>128.16</v>
      </c>
    </row>
    <row r="160" spans="3:21" x14ac:dyDescent="0.25">
      <c r="C160">
        <f>DATA_CLEANING!J161</f>
        <v>3854.56</v>
      </c>
      <c r="D160">
        <f t="shared" si="7"/>
        <v>192.72800000000001</v>
      </c>
      <c r="E160">
        <f t="shared" si="7"/>
        <v>385.45600000000002</v>
      </c>
      <c r="F160">
        <f t="shared" si="7"/>
        <v>770.91200000000003</v>
      </c>
      <c r="G160">
        <f t="shared" si="7"/>
        <v>1156.3679999999999</v>
      </c>
      <c r="H160" t="str">
        <f>IF(Table3[[#This Row],[Sales Amount]]&gt;500,"Large Order",  "Standard Order")</f>
        <v>Large Order</v>
      </c>
      <c r="I160" t="str">
        <f>IF(AND(Table3[[#This Row],[Sales Amount]]&gt;750,DATA_CLEANING!H161&gt;5), "GREAT ORDER", "LOW ORDER")</f>
        <v>GREAT ORDER</v>
      </c>
      <c r="K160" s="26">
        <f>DATA_CLEANING!H160</f>
        <v>15</v>
      </c>
      <c r="L160" t="str">
        <f>DATA_CLEANING!C160</f>
        <v>CUST-263</v>
      </c>
      <c r="U160" s="5">
        <f>VALUE(DATA_CLEANING!J160)*
IF(VALUE(DATA_CLEANING!J160)&gt;=6000,30%,
IF(VALUE(DATA_CLEANING!J160)&gt;=5000,20%,
IF(VALUE(DATA_CLEANING!J160)&gt;=3000,10%,
IF(VALUE(DATA_CLEANING!J160)&gt;=1000,5%,0))))</f>
        <v>107.655</v>
      </c>
    </row>
    <row r="161" spans="3:21" x14ac:dyDescent="0.25">
      <c r="C161">
        <f>DATA_CLEANING!J162</f>
        <v>2643.42</v>
      </c>
      <c r="D161">
        <f t="shared" si="7"/>
        <v>132.17100000000002</v>
      </c>
      <c r="E161">
        <f t="shared" si="7"/>
        <v>264.34200000000004</v>
      </c>
      <c r="F161">
        <f t="shared" si="7"/>
        <v>528.68400000000008</v>
      </c>
      <c r="G161">
        <f t="shared" si="7"/>
        <v>793.02599999999995</v>
      </c>
      <c r="H161" t="str">
        <f>IF(Table3[[#This Row],[Sales Amount]]&gt;500,"Large Order",  "Standard Order")</f>
        <v>Large Order</v>
      </c>
      <c r="I161" t="str">
        <f>IF(AND(Table3[[#This Row],[Sales Amount]]&gt;750,DATA_CLEANING!H162&gt;5), "GREAT ORDER", "LOW ORDER")</f>
        <v>GREAT ORDER</v>
      </c>
      <c r="K161" s="26">
        <f>DATA_CLEANING!H161</f>
        <v>8</v>
      </c>
      <c r="L161" t="str">
        <f>DATA_CLEANING!C161</f>
        <v>CUST-264</v>
      </c>
      <c r="U161" s="5">
        <f>VALUE(DATA_CLEANING!J161)*
IF(VALUE(DATA_CLEANING!J161)&gt;=6000,30%,
IF(VALUE(DATA_CLEANING!J161)&gt;=5000,20%,
IF(VALUE(DATA_CLEANING!J161)&gt;=3000,10%,
IF(VALUE(DATA_CLEANING!J161)&gt;=1000,5%,0))))</f>
        <v>385.45600000000002</v>
      </c>
    </row>
    <row r="162" spans="3:21" x14ac:dyDescent="0.25">
      <c r="C162">
        <f>DATA_CLEANING!J163</f>
        <v>4073.3999999999996</v>
      </c>
      <c r="D162">
        <f t="shared" ref="D162:G181" si="8">$C162*D$1</f>
        <v>203.67</v>
      </c>
      <c r="E162">
        <f t="shared" si="8"/>
        <v>407.34</v>
      </c>
      <c r="F162">
        <f t="shared" si="8"/>
        <v>814.68</v>
      </c>
      <c r="G162">
        <f t="shared" si="8"/>
        <v>1222.0199999999998</v>
      </c>
      <c r="H162" t="str">
        <f>IF(Table3[[#This Row],[Sales Amount]]&gt;500,"Large Order",  "Standard Order")</f>
        <v>Large Order</v>
      </c>
      <c r="I162" t="str">
        <f>IF(AND(Table3[[#This Row],[Sales Amount]]&gt;750,DATA_CLEANING!H163&gt;5), "GREAT ORDER", "LOW ORDER")</f>
        <v>GREAT ORDER</v>
      </c>
      <c r="K162" s="26">
        <f>DATA_CLEANING!H162</f>
        <v>13</v>
      </c>
      <c r="L162" t="str">
        <f>DATA_CLEANING!C162</f>
        <v>CUST-265</v>
      </c>
      <c r="U162" s="5">
        <f>VALUE(DATA_CLEANING!J162)*
IF(VALUE(DATA_CLEANING!J162)&gt;=6000,30%,
IF(VALUE(DATA_CLEANING!J162)&gt;=5000,20%,
IF(VALUE(DATA_CLEANING!J162)&gt;=3000,10%,
IF(VALUE(DATA_CLEANING!J162)&gt;=1000,5%,0))))</f>
        <v>132.17100000000002</v>
      </c>
    </row>
    <row r="163" spans="3:21" x14ac:dyDescent="0.25">
      <c r="C163">
        <f>DATA_CLEANING!J164</f>
        <v>313.58</v>
      </c>
      <c r="D163">
        <f t="shared" si="8"/>
        <v>15.679</v>
      </c>
      <c r="E163">
        <f t="shared" si="8"/>
        <v>31.358000000000001</v>
      </c>
      <c r="F163">
        <f t="shared" si="8"/>
        <v>62.716000000000001</v>
      </c>
      <c r="G163">
        <f t="shared" si="8"/>
        <v>94.073999999999998</v>
      </c>
      <c r="H163" t="str">
        <f>IF(Table3[[#This Row],[Sales Amount]]&gt;500,"Large Order",  "Standard Order")</f>
        <v>Standard Order</v>
      </c>
      <c r="I163" t="str">
        <f>IF(AND(Table3[[#This Row],[Sales Amount]]&gt;750,DATA_CLEANING!H164&gt;5), "GREAT ORDER", "LOW ORDER")</f>
        <v>LOW ORDER</v>
      </c>
      <c r="K163" s="26">
        <f>DATA_CLEANING!H163</f>
        <v>12</v>
      </c>
      <c r="L163" t="str">
        <f>DATA_CLEANING!C163</f>
        <v>CUST-266</v>
      </c>
      <c r="U163" s="5">
        <f>VALUE(DATA_CLEANING!J163)*
IF(VALUE(DATA_CLEANING!J163)&gt;=6000,30%,
IF(VALUE(DATA_CLEANING!J163)&gt;=5000,20%,
IF(VALUE(DATA_CLEANING!J163)&gt;=3000,10%,
IF(VALUE(DATA_CLEANING!J163)&gt;=1000,5%,0))))</f>
        <v>407.34</v>
      </c>
    </row>
    <row r="164" spans="3:21" x14ac:dyDescent="0.25">
      <c r="C164">
        <f>DATA_CLEANING!J165</f>
        <v>3324.86</v>
      </c>
      <c r="D164">
        <f t="shared" si="8"/>
        <v>166.24300000000002</v>
      </c>
      <c r="E164">
        <f t="shared" si="8"/>
        <v>332.48600000000005</v>
      </c>
      <c r="F164">
        <f t="shared" si="8"/>
        <v>664.97200000000009</v>
      </c>
      <c r="G164">
        <f t="shared" si="8"/>
        <v>997.45799999999997</v>
      </c>
      <c r="H164" t="str">
        <f>IF(Table3[[#This Row],[Sales Amount]]&gt;500,"Large Order",  "Standard Order")</f>
        <v>Large Order</v>
      </c>
      <c r="I164" t="str">
        <f>IF(AND(Table3[[#This Row],[Sales Amount]]&gt;750,DATA_CLEANING!H165&gt;5), "GREAT ORDER", "LOW ORDER")</f>
        <v>GREAT ORDER</v>
      </c>
      <c r="K164" s="26">
        <f>DATA_CLEANING!H164</f>
        <v>1</v>
      </c>
      <c r="L164" t="str">
        <f>DATA_CLEANING!C164</f>
        <v>CUST-267</v>
      </c>
      <c r="U164" s="5">
        <f>VALUE(DATA_CLEANING!J164)*
IF(VALUE(DATA_CLEANING!J164)&gt;=6000,30%,
IF(VALUE(DATA_CLEANING!J164)&gt;=5000,20%,
IF(VALUE(DATA_CLEANING!J164)&gt;=3000,10%,
IF(VALUE(DATA_CLEANING!J164)&gt;=1000,5%,0))))</f>
        <v>0</v>
      </c>
    </row>
    <row r="165" spans="3:21" x14ac:dyDescent="0.25">
      <c r="C165">
        <f>DATA_CLEANING!J166</f>
        <v>159.13999999999999</v>
      </c>
      <c r="D165">
        <f t="shared" si="8"/>
        <v>7.9569999999999999</v>
      </c>
      <c r="E165">
        <f t="shared" si="8"/>
        <v>15.914</v>
      </c>
      <c r="F165">
        <f t="shared" si="8"/>
        <v>31.827999999999999</v>
      </c>
      <c r="G165">
        <f t="shared" si="8"/>
        <v>47.741999999999997</v>
      </c>
      <c r="H165" t="str">
        <f>IF(Table3[[#This Row],[Sales Amount]]&gt;500,"Large Order",  "Standard Order")</f>
        <v>Standard Order</v>
      </c>
      <c r="I165" t="str">
        <f>IF(AND(Table3[[#This Row],[Sales Amount]]&gt;750,DATA_CLEANING!H166&gt;5), "GREAT ORDER", "LOW ORDER")</f>
        <v>LOW ORDER</v>
      </c>
      <c r="K165" s="26">
        <f>DATA_CLEANING!H165</f>
        <v>14</v>
      </c>
      <c r="L165" t="str">
        <f>DATA_CLEANING!C165</f>
        <v>CUST-268</v>
      </c>
      <c r="U165" s="5">
        <f>VALUE(DATA_CLEANING!J165)*
IF(VALUE(DATA_CLEANING!J165)&gt;=6000,30%,
IF(VALUE(DATA_CLEANING!J165)&gt;=5000,20%,
IF(VALUE(DATA_CLEANING!J165)&gt;=3000,10%,
IF(VALUE(DATA_CLEANING!J165)&gt;=1000,5%,0))))</f>
        <v>332.48600000000005</v>
      </c>
    </row>
    <row r="166" spans="3:21" x14ac:dyDescent="0.25">
      <c r="C166">
        <f>DATA_CLEANING!J167</f>
        <v>1626.03</v>
      </c>
      <c r="D166">
        <f t="shared" si="8"/>
        <v>81.301500000000004</v>
      </c>
      <c r="E166">
        <f t="shared" si="8"/>
        <v>162.60300000000001</v>
      </c>
      <c r="F166">
        <f t="shared" si="8"/>
        <v>325.20600000000002</v>
      </c>
      <c r="G166">
        <f t="shared" si="8"/>
        <v>487.80899999999997</v>
      </c>
      <c r="H166" t="str">
        <f>IF(Table3[[#This Row],[Sales Amount]]&gt;500,"Large Order",  "Standard Order")</f>
        <v>Large Order</v>
      </c>
      <c r="I166" t="str">
        <f>IF(AND(Table3[[#This Row],[Sales Amount]]&gt;750,DATA_CLEANING!H167&gt;5), "GREAT ORDER", "LOW ORDER")</f>
        <v>GREAT ORDER</v>
      </c>
      <c r="K166" s="26">
        <f>DATA_CLEANING!H166</f>
        <v>1</v>
      </c>
      <c r="L166" t="str">
        <f>DATA_CLEANING!C166</f>
        <v>CUST-269</v>
      </c>
      <c r="U166" s="5">
        <f>VALUE(DATA_CLEANING!J166)*
IF(VALUE(DATA_CLEANING!J166)&gt;=6000,30%,
IF(VALUE(DATA_CLEANING!J166)&gt;=5000,20%,
IF(VALUE(DATA_CLEANING!J166)&gt;=3000,10%,
IF(VALUE(DATA_CLEANING!J166)&gt;=1000,5%,0))))</f>
        <v>0</v>
      </c>
    </row>
    <row r="167" spans="3:21" x14ac:dyDescent="0.25">
      <c r="C167">
        <f>DATA_CLEANING!J168</f>
        <v>1028.6399999999999</v>
      </c>
      <c r="D167">
        <f t="shared" si="8"/>
        <v>51.431999999999995</v>
      </c>
      <c r="E167">
        <f t="shared" si="8"/>
        <v>102.86399999999999</v>
      </c>
      <c r="F167">
        <f t="shared" si="8"/>
        <v>205.72799999999998</v>
      </c>
      <c r="G167">
        <f t="shared" si="8"/>
        <v>308.59199999999993</v>
      </c>
      <c r="H167" t="str">
        <f>IF(Table3[[#This Row],[Sales Amount]]&gt;500,"Large Order",  "Standard Order")</f>
        <v>Large Order</v>
      </c>
      <c r="I167" t="str">
        <f>IF(AND(Table3[[#This Row],[Sales Amount]]&gt;750,DATA_CLEANING!H168&gt;5), "GREAT ORDER", "LOW ORDER")</f>
        <v>GREAT ORDER</v>
      </c>
      <c r="K167" s="26">
        <f>DATA_CLEANING!H167</f>
        <v>7</v>
      </c>
      <c r="L167" t="str">
        <f>DATA_CLEANING!C167</f>
        <v>CUST-270</v>
      </c>
      <c r="U167" s="5">
        <f>VALUE(DATA_CLEANING!J167)*
IF(VALUE(DATA_CLEANING!J167)&gt;=6000,30%,
IF(VALUE(DATA_CLEANING!J167)&gt;=5000,20%,
IF(VALUE(DATA_CLEANING!J167)&gt;=3000,10%,
IF(VALUE(DATA_CLEANING!J167)&gt;=1000,5%,0))))</f>
        <v>81.301500000000004</v>
      </c>
    </row>
    <row r="168" spans="3:21" x14ac:dyDescent="0.25">
      <c r="C168">
        <f>DATA_CLEANING!J169</f>
        <v>130.15</v>
      </c>
      <c r="D168">
        <f t="shared" si="8"/>
        <v>6.5075000000000003</v>
      </c>
      <c r="E168">
        <f t="shared" si="8"/>
        <v>13.015000000000001</v>
      </c>
      <c r="F168">
        <f t="shared" si="8"/>
        <v>26.03</v>
      </c>
      <c r="G168">
        <f t="shared" si="8"/>
        <v>39.045000000000002</v>
      </c>
      <c r="H168" t="str">
        <f>IF(Table3[[#This Row],[Sales Amount]]&gt;500,"Large Order",  "Standard Order")</f>
        <v>Standard Order</v>
      </c>
      <c r="I168" t="str">
        <f>IF(AND(Table3[[#This Row],[Sales Amount]]&gt;750,DATA_CLEANING!H169&gt;5), "GREAT ORDER", "LOW ORDER")</f>
        <v>LOW ORDER</v>
      </c>
      <c r="K168" s="26">
        <f>DATA_CLEANING!H168</f>
        <v>12</v>
      </c>
      <c r="L168" t="str">
        <f>DATA_CLEANING!C168</f>
        <v>CUST-271</v>
      </c>
      <c r="U168" s="5">
        <f>VALUE(DATA_CLEANING!J168)*
IF(VALUE(DATA_CLEANING!J168)&gt;=6000,30%,
IF(VALUE(DATA_CLEANING!J168)&gt;=5000,20%,
IF(VALUE(DATA_CLEANING!J168)&gt;=3000,10%,
IF(VALUE(DATA_CLEANING!J168)&gt;=1000,5%,0))))</f>
        <v>51.431999999999995</v>
      </c>
    </row>
    <row r="169" spans="3:21" x14ac:dyDescent="0.25">
      <c r="C169">
        <f>DATA_CLEANING!J170</f>
        <v>981.3</v>
      </c>
      <c r="D169">
        <f t="shared" si="8"/>
        <v>49.064999999999998</v>
      </c>
      <c r="E169">
        <f t="shared" si="8"/>
        <v>98.13</v>
      </c>
      <c r="F169">
        <f t="shared" si="8"/>
        <v>196.26</v>
      </c>
      <c r="G169">
        <f t="shared" si="8"/>
        <v>294.39</v>
      </c>
      <c r="H169" t="str">
        <f>IF(Table3[[#This Row],[Sales Amount]]&gt;500,"Large Order",  "Standard Order")</f>
        <v>Large Order</v>
      </c>
      <c r="I169" t="str">
        <f>IF(AND(Table3[[#This Row],[Sales Amount]]&gt;750,DATA_CLEANING!H170&gt;5), "GREAT ORDER", "LOW ORDER")</f>
        <v>LOW ORDER</v>
      </c>
      <c r="K169" s="26">
        <f>DATA_CLEANING!H169</f>
        <v>5</v>
      </c>
      <c r="L169" t="str">
        <f>DATA_CLEANING!C169</f>
        <v>CUST-272</v>
      </c>
      <c r="U169" s="5">
        <f>VALUE(DATA_CLEANING!J169)*
IF(VALUE(DATA_CLEANING!J169)&gt;=6000,30%,
IF(VALUE(DATA_CLEANING!J169)&gt;=5000,20%,
IF(VALUE(DATA_CLEANING!J169)&gt;=3000,10%,
IF(VALUE(DATA_CLEANING!J169)&gt;=1000,5%,0))))</f>
        <v>0</v>
      </c>
    </row>
    <row r="170" spans="3:21" x14ac:dyDescent="0.25">
      <c r="C170">
        <f>DATA_CLEANING!J171</f>
        <v>1937.68</v>
      </c>
      <c r="D170">
        <f t="shared" si="8"/>
        <v>96.884000000000015</v>
      </c>
      <c r="E170">
        <f t="shared" si="8"/>
        <v>193.76800000000003</v>
      </c>
      <c r="F170">
        <f t="shared" si="8"/>
        <v>387.53600000000006</v>
      </c>
      <c r="G170">
        <f t="shared" si="8"/>
        <v>581.30399999999997</v>
      </c>
      <c r="H170" t="str">
        <f>IF(Table3[[#This Row],[Sales Amount]]&gt;500,"Large Order",  "Standard Order")</f>
        <v>Large Order</v>
      </c>
      <c r="I170" t="str">
        <f>IF(AND(Table3[[#This Row],[Sales Amount]]&gt;750,DATA_CLEANING!H171&gt;5), "GREAT ORDER", "LOW ORDER")</f>
        <v>LOW ORDER</v>
      </c>
      <c r="K170" s="26">
        <f>DATA_CLEANING!H170</f>
        <v>2</v>
      </c>
      <c r="L170" t="str">
        <f>DATA_CLEANING!C170</f>
        <v>CUST-273</v>
      </c>
      <c r="U170" s="5">
        <f>VALUE(DATA_CLEANING!J170)*
IF(VALUE(DATA_CLEANING!J170)&gt;=6000,30%,
IF(VALUE(DATA_CLEANING!J170)&gt;=5000,20%,
IF(VALUE(DATA_CLEANING!J170)&gt;=3000,10%,
IF(VALUE(DATA_CLEANING!J170)&gt;=1000,5%,0))))</f>
        <v>0</v>
      </c>
    </row>
    <row r="171" spans="3:21" x14ac:dyDescent="0.25">
      <c r="C171">
        <f>DATA_CLEANING!J172</f>
        <v>2254.46</v>
      </c>
      <c r="D171">
        <f t="shared" si="8"/>
        <v>112.72300000000001</v>
      </c>
      <c r="E171">
        <f t="shared" si="8"/>
        <v>225.44600000000003</v>
      </c>
      <c r="F171">
        <f t="shared" si="8"/>
        <v>450.89200000000005</v>
      </c>
      <c r="G171">
        <f t="shared" si="8"/>
        <v>676.33799999999997</v>
      </c>
      <c r="H171" t="str">
        <f>IF(Table3[[#This Row],[Sales Amount]]&gt;500,"Large Order",  "Standard Order")</f>
        <v>Large Order</v>
      </c>
      <c r="I171" t="str">
        <f>IF(AND(Table3[[#This Row],[Sales Amount]]&gt;750,DATA_CLEANING!H172&gt;5), "GREAT ORDER", "LOW ORDER")</f>
        <v>GREAT ORDER</v>
      </c>
      <c r="K171" s="26">
        <f>DATA_CLEANING!H171</f>
        <v>4</v>
      </c>
      <c r="L171" t="str">
        <f>DATA_CLEANING!C171</f>
        <v>CUST-274</v>
      </c>
      <c r="U171" s="5">
        <f>VALUE(DATA_CLEANING!J171)*
IF(VALUE(DATA_CLEANING!J171)&gt;=6000,30%,
IF(VALUE(DATA_CLEANING!J171)&gt;=5000,20%,
IF(VALUE(DATA_CLEANING!J171)&gt;=3000,10%,
IF(VALUE(DATA_CLEANING!J171)&gt;=1000,5%,0))))</f>
        <v>96.884000000000015</v>
      </c>
    </row>
    <row r="172" spans="3:21" x14ac:dyDescent="0.25">
      <c r="C172">
        <f>DATA_CLEANING!J173</f>
        <v>1158.1999999999998</v>
      </c>
      <c r="D172">
        <f t="shared" si="8"/>
        <v>57.91</v>
      </c>
      <c r="E172">
        <f t="shared" si="8"/>
        <v>115.82</v>
      </c>
      <c r="F172">
        <f t="shared" si="8"/>
        <v>231.64</v>
      </c>
      <c r="G172">
        <f t="shared" si="8"/>
        <v>347.45999999999992</v>
      </c>
      <c r="H172" t="str">
        <f>IF(Table3[[#This Row],[Sales Amount]]&gt;500,"Large Order",  "Standard Order")</f>
        <v>Large Order</v>
      </c>
      <c r="I172" t="str">
        <f>IF(AND(Table3[[#This Row],[Sales Amount]]&gt;750,DATA_CLEANING!H173&gt;5), "GREAT ORDER", "LOW ORDER")</f>
        <v>GREAT ORDER</v>
      </c>
      <c r="K172" s="26">
        <f>DATA_CLEANING!H172</f>
        <v>13</v>
      </c>
      <c r="L172" t="str">
        <f>DATA_CLEANING!C172</f>
        <v>CUST-275</v>
      </c>
      <c r="U172" s="5">
        <f>VALUE(DATA_CLEANING!J172)*
IF(VALUE(DATA_CLEANING!J172)&gt;=6000,30%,
IF(VALUE(DATA_CLEANING!J172)&gt;=5000,20%,
IF(VALUE(DATA_CLEANING!J172)&gt;=3000,10%,
IF(VALUE(DATA_CLEANING!J172)&gt;=1000,5%,0))))</f>
        <v>112.72300000000001</v>
      </c>
    </row>
    <row r="173" spans="3:21" x14ac:dyDescent="0.25">
      <c r="C173">
        <f>DATA_CLEANING!J174</f>
        <v>6890.38</v>
      </c>
      <c r="D173">
        <f t="shared" si="8"/>
        <v>344.51900000000001</v>
      </c>
      <c r="E173">
        <f t="shared" si="8"/>
        <v>689.03800000000001</v>
      </c>
      <c r="F173">
        <f t="shared" si="8"/>
        <v>1378.076</v>
      </c>
      <c r="G173">
        <f t="shared" si="8"/>
        <v>2067.114</v>
      </c>
      <c r="H173" t="str">
        <f>IF(Table3[[#This Row],[Sales Amount]]&gt;500,"Large Order",  "Standard Order")</f>
        <v>Large Order</v>
      </c>
      <c r="I173" t="str">
        <f>IF(AND(Table3[[#This Row],[Sales Amount]]&gt;750,DATA_CLEANING!H174&gt;5), "GREAT ORDER", "LOW ORDER")</f>
        <v>GREAT ORDER</v>
      </c>
      <c r="K173" s="26">
        <f>DATA_CLEANING!H173</f>
        <v>10</v>
      </c>
      <c r="L173" t="str">
        <f>DATA_CLEANING!C173</f>
        <v>CUST-276</v>
      </c>
      <c r="U173" s="5">
        <f>VALUE(DATA_CLEANING!J173)*
IF(VALUE(DATA_CLEANING!J173)&gt;=6000,30%,
IF(VALUE(DATA_CLEANING!J173)&gt;=5000,20%,
IF(VALUE(DATA_CLEANING!J173)&gt;=3000,10%,
IF(VALUE(DATA_CLEANING!J173)&gt;=1000,5%,0))))</f>
        <v>57.91</v>
      </c>
    </row>
    <row r="174" spans="3:21" x14ac:dyDescent="0.25">
      <c r="C174">
        <f>DATA_CLEANING!J175</f>
        <v>316.82</v>
      </c>
      <c r="D174">
        <f t="shared" si="8"/>
        <v>15.841000000000001</v>
      </c>
      <c r="E174">
        <f t="shared" si="8"/>
        <v>31.682000000000002</v>
      </c>
      <c r="F174">
        <f t="shared" si="8"/>
        <v>63.364000000000004</v>
      </c>
      <c r="G174">
        <f t="shared" si="8"/>
        <v>95.045999999999992</v>
      </c>
      <c r="H174" t="str">
        <f>IF(Table3[[#This Row],[Sales Amount]]&gt;500,"Large Order",  "Standard Order")</f>
        <v>Standard Order</v>
      </c>
      <c r="I174" t="str">
        <f>IF(AND(Table3[[#This Row],[Sales Amount]]&gt;750,DATA_CLEANING!H175&gt;5), "GREAT ORDER", "LOW ORDER")</f>
        <v>LOW ORDER</v>
      </c>
      <c r="K174" s="26">
        <f>DATA_CLEANING!H174</f>
        <v>14</v>
      </c>
      <c r="L174" t="str">
        <f>DATA_CLEANING!C174</f>
        <v>CUST-277</v>
      </c>
      <c r="U174" s="5">
        <f>VALUE(DATA_CLEANING!J174)*
IF(VALUE(DATA_CLEANING!J174)&gt;=6000,30%,
IF(VALUE(DATA_CLEANING!J174)&gt;=5000,20%,
IF(VALUE(DATA_CLEANING!J174)&gt;=3000,10%,
IF(VALUE(DATA_CLEANING!J174)&gt;=1000,5%,0))))</f>
        <v>2067.114</v>
      </c>
    </row>
    <row r="175" spans="3:21" x14ac:dyDescent="0.25">
      <c r="C175">
        <f>DATA_CLEANING!J176</f>
        <v>420.09000000000003</v>
      </c>
      <c r="D175">
        <f t="shared" si="8"/>
        <v>21.004500000000004</v>
      </c>
      <c r="E175">
        <f t="shared" si="8"/>
        <v>42.009000000000007</v>
      </c>
      <c r="F175">
        <f t="shared" si="8"/>
        <v>84.018000000000015</v>
      </c>
      <c r="G175">
        <f t="shared" si="8"/>
        <v>126.027</v>
      </c>
      <c r="H175" t="str">
        <f>IF(Table3[[#This Row],[Sales Amount]]&gt;500,"Large Order",  "Standard Order")</f>
        <v>Standard Order</v>
      </c>
      <c r="I175" t="str">
        <f>IF(AND(Table3[[#This Row],[Sales Amount]]&gt;750,DATA_CLEANING!H176&gt;5), "GREAT ORDER", "LOW ORDER")</f>
        <v>LOW ORDER</v>
      </c>
      <c r="K175" s="26">
        <f>DATA_CLEANING!H175</f>
        <v>14</v>
      </c>
      <c r="L175" t="str">
        <f>DATA_CLEANING!C175</f>
        <v>CUST-278</v>
      </c>
      <c r="U175" s="5">
        <f>VALUE(DATA_CLEANING!J175)*
IF(VALUE(DATA_CLEANING!J175)&gt;=6000,30%,
IF(VALUE(DATA_CLEANING!J175)&gt;=5000,20%,
IF(VALUE(DATA_CLEANING!J175)&gt;=3000,10%,
IF(VALUE(DATA_CLEANING!J175)&gt;=1000,5%,0))))</f>
        <v>0</v>
      </c>
    </row>
    <row r="176" spans="3:21" x14ac:dyDescent="0.25">
      <c r="C176">
        <f>DATA_CLEANING!J177</f>
        <v>3129.84</v>
      </c>
      <c r="D176">
        <f t="shared" si="8"/>
        <v>156.49200000000002</v>
      </c>
      <c r="E176">
        <f t="shared" si="8"/>
        <v>312.98400000000004</v>
      </c>
      <c r="F176">
        <f t="shared" si="8"/>
        <v>625.96800000000007</v>
      </c>
      <c r="G176">
        <f t="shared" si="8"/>
        <v>938.952</v>
      </c>
      <c r="H176" t="str">
        <f>IF(Table3[[#This Row],[Sales Amount]]&gt;500,"Large Order",  "Standard Order")</f>
        <v>Large Order</v>
      </c>
      <c r="I176" t="str">
        <f>IF(AND(Table3[[#This Row],[Sales Amount]]&gt;750,DATA_CLEANING!H177&gt;5), "GREAT ORDER", "LOW ORDER")</f>
        <v>GREAT ORDER</v>
      </c>
      <c r="K176" s="26">
        <f>DATA_CLEANING!H176</f>
        <v>3</v>
      </c>
      <c r="L176" t="str">
        <f>DATA_CLEANING!C176</f>
        <v>CUST-279</v>
      </c>
      <c r="U176" s="5">
        <f>VALUE(DATA_CLEANING!J176)*
IF(VALUE(DATA_CLEANING!J176)&gt;=6000,30%,
IF(VALUE(DATA_CLEANING!J176)&gt;=5000,20%,
IF(VALUE(DATA_CLEANING!J176)&gt;=3000,10%,
IF(VALUE(DATA_CLEANING!J176)&gt;=1000,5%,0))))</f>
        <v>0</v>
      </c>
    </row>
    <row r="177" spans="3:21" x14ac:dyDescent="0.25">
      <c r="C177">
        <f>DATA_CLEANING!J178</f>
        <v>312.5</v>
      </c>
      <c r="D177">
        <f t="shared" si="8"/>
        <v>15.625</v>
      </c>
      <c r="E177">
        <f t="shared" si="8"/>
        <v>31.25</v>
      </c>
      <c r="F177">
        <f t="shared" si="8"/>
        <v>62.5</v>
      </c>
      <c r="G177">
        <f t="shared" si="8"/>
        <v>93.75</v>
      </c>
      <c r="H177" t="str">
        <f>IF(Table3[[#This Row],[Sales Amount]]&gt;500,"Large Order",  "Standard Order")</f>
        <v>Standard Order</v>
      </c>
      <c r="I177" t="str">
        <f>IF(AND(Table3[[#This Row],[Sales Amount]]&gt;750,DATA_CLEANING!H178&gt;5), "GREAT ORDER", "LOW ORDER")</f>
        <v>LOW ORDER</v>
      </c>
      <c r="K177" s="26">
        <f>DATA_CLEANING!H177</f>
        <v>8</v>
      </c>
      <c r="L177" t="str">
        <f>DATA_CLEANING!C177</f>
        <v>CUST-280</v>
      </c>
      <c r="U177" s="5">
        <f>VALUE(DATA_CLEANING!J177)*
IF(VALUE(DATA_CLEANING!J177)&gt;=6000,30%,
IF(VALUE(DATA_CLEANING!J177)&gt;=5000,20%,
IF(VALUE(DATA_CLEANING!J177)&gt;=3000,10%,
IF(VALUE(DATA_CLEANING!J177)&gt;=1000,5%,0))))</f>
        <v>312.98400000000004</v>
      </c>
    </row>
    <row r="178" spans="3:21" x14ac:dyDescent="0.25">
      <c r="C178">
        <f>DATA_CLEANING!J179</f>
        <v>39.799999999999997</v>
      </c>
      <c r="D178">
        <f t="shared" si="8"/>
        <v>1.99</v>
      </c>
      <c r="E178">
        <f t="shared" si="8"/>
        <v>3.98</v>
      </c>
      <c r="F178">
        <f t="shared" si="8"/>
        <v>7.96</v>
      </c>
      <c r="G178">
        <f t="shared" si="8"/>
        <v>11.94</v>
      </c>
      <c r="H178" t="str">
        <f>IF(Table3[[#This Row],[Sales Amount]]&gt;500,"Large Order",  "Standard Order")</f>
        <v>Standard Order</v>
      </c>
      <c r="I178" t="str">
        <f>IF(AND(Table3[[#This Row],[Sales Amount]]&gt;750,DATA_CLEANING!H179&gt;5), "GREAT ORDER", "LOW ORDER")</f>
        <v>LOW ORDER</v>
      </c>
      <c r="K178" s="26">
        <f>DATA_CLEANING!H178</f>
        <v>10</v>
      </c>
      <c r="L178" t="str">
        <f>DATA_CLEANING!C178</f>
        <v>CUST-281</v>
      </c>
      <c r="U178" s="5">
        <f>VALUE(DATA_CLEANING!J178)*
IF(VALUE(DATA_CLEANING!J178)&gt;=6000,30%,
IF(VALUE(DATA_CLEANING!J178)&gt;=5000,20%,
IF(VALUE(DATA_CLEANING!J178)&gt;=3000,10%,
IF(VALUE(DATA_CLEANING!J178)&gt;=1000,5%,0))))</f>
        <v>0</v>
      </c>
    </row>
    <row r="179" spans="3:21" x14ac:dyDescent="0.25">
      <c r="C179">
        <f>DATA_CLEANING!J180</f>
        <v>3410.25</v>
      </c>
      <c r="D179">
        <f t="shared" si="8"/>
        <v>170.51250000000002</v>
      </c>
      <c r="E179">
        <f t="shared" si="8"/>
        <v>341.02500000000003</v>
      </c>
      <c r="F179">
        <f t="shared" si="8"/>
        <v>682.05000000000007</v>
      </c>
      <c r="G179">
        <f t="shared" si="8"/>
        <v>1023.0749999999999</v>
      </c>
      <c r="H179" t="str">
        <f>IF(Table3[[#This Row],[Sales Amount]]&gt;500,"Large Order",  "Standard Order")</f>
        <v>Large Order</v>
      </c>
      <c r="I179" t="str">
        <f>IF(AND(Table3[[#This Row],[Sales Amount]]&gt;750,DATA_CLEANING!H180&gt;5), "GREAT ORDER", "LOW ORDER")</f>
        <v>GREAT ORDER</v>
      </c>
      <c r="K179" s="26">
        <f>DATA_CLEANING!H179</f>
        <v>1</v>
      </c>
      <c r="L179" t="str">
        <f>DATA_CLEANING!C179</f>
        <v>CUST-282</v>
      </c>
      <c r="U179" s="5">
        <f>VALUE(DATA_CLEANING!J179)*
IF(VALUE(DATA_CLEANING!J179)&gt;=6000,30%,
IF(VALUE(DATA_CLEANING!J179)&gt;=5000,20%,
IF(VALUE(DATA_CLEANING!J179)&gt;=3000,10%,
IF(VALUE(DATA_CLEANING!J179)&gt;=1000,5%,0))))</f>
        <v>0</v>
      </c>
    </row>
    <row r="180" spans="3:21" x14ac:dyDescent="0.25">
      <c r="C180">
        <f>DATA_CLEANING!J181</f>
        <v>1579.6000000000001</v>
      </c>
      <c r="D180">
        <f t="shared" si="8"/>
        <v>78.980000000000018</v>
      </c>
      <c r="E180">
        <f t="shared" si="8"/>
        <v>157.96000000000004</v>
      </c>
      <c r="F180">
        <f t="shared" si="8"/>
        <v>315.92000000000007</v>
      </c>
      <c r="G180">
        <f t="shared" si="8"/>
        <v>473.88</v>
      </c>
      <c r="H180" t="str">
        <f>IF(Table3[[#This Row],[Sales Amount]]&gt;500,"Large Order",  "Standard Order")</f>
        <v>Large Order</v>
      </c>
      <c r="I180" t="str">
        <f>IF(AND(Table3[[#This Row],[Sales Amount]]&gt;750,DATA_CLEANING!H181&gt;5), "GREAT ORDER", "LOW ORDER")</f>
        <v>LOW ORDER</v>
      </c>
      <c r="K180" s="26">
        <f>DATA_CLEANING!H180</f>
        <v>15</v>
      </c>
      <c r="L180" t="str">
        <f>DATA_CLEANING!C180</f>
        <v>CUST-283</v>
      </c>
      <c r="U180" s="5">
        <f>VALUE(DATA_CLEANING!J180)*
IF(VALUE(DATA_CLEANING!J180)&gt;=6000,30%,
IF(VALUE(DATA_CLEANING!J180)&gt;=5000,20%,
IF(VALUE(DATA_CLEANING!J180)&gt;=3000,10%,
IF(VALUE(DATA_CLEANING!J180)&gt;=1000,5%,0))))</f>
        <v>341.02500000000003</v>
      </c>
    </row>
    <row r="181" spans="3:21" x14ac:dyDescent="0.25">
      <c r="C181">
        <f>DATA_CLEANING!J182</f>
        <v>1161.5999999999999</v>
      </c>
      <c r="D181">
        <f t="shared" si="8"/>
        <v>58.08</v>
      </c>
      <c r="E181">
        <f t="shared" si="8"/>
        <v>116.16</v>
      </c>
      <c r="F181">
        <f t="shared" si="8"/>
        <v>232.32</v>
      </c>
      <c r="G181">
        <f t="shared" si="8"/>
        <v>348.47999999999996</v>
      </c>
      <c r="H181" t="str">
        <f>IF(Table3[[#This Row],[Sales Amount]]&gt;500,"Large Order",  "Standard Order")</f>
        <v>Large Order</v>
      </c>
      <c r="I181" t="str">
        <f>IF(AND(Table3[[#This Row],[Sales Amount]]&gt;750,DATA_CLEANING!H182&gt;5), "GREAT ORDER", "LOW ORDER")</f>
        <v>LOW ORDER</v>
      </c>
      <c r="K181" s="26">
        <f>DATA_CLEANING!H181</f>
        <v>5</v>
      </c>
      <c r="L181" t="str">
        <f>DATA_CLEANING!C181</f>
        <v>CUST-284</v>
      </c>
      <c r="U181" s="5">
        <f>VALUE(DATA_CLEANING!J181)*
IF(VALUE(DATA_CLEANING!J181)&gt;=6000,30%,
IF(VALUE(DATA_CLEANING!J181)&gt;=5000,20%,
IF(VALUE(DATA_CLEANING!J181)&gt;=3000,10%,
IF(VALUE(DATA_CLEANING!J181)&gt;=1000,5%,0))))</f>
        <v>78.980000000000018</v>
      </c>
    </row>
    <row r="182" spans="3:21" x14ac:dyDescent="0.25">
      <c r="C182">
        <f>DATA_CLEANING!J183</f>
        <v>1615.04</v>
      </c>
      <c r="D182">
        <f t="shared" ref="D182:G201" si="9">$C182*D$1</f>
        <v>80.75200000000001</v>
      </c>
      <c r="E182">
        <f t="shared" si="9"/>
        <v>161.50400000000002</v>
      </c>
      <c r="F182">
        <f t="shared" si="9"/>
        <v>323.00800000000004</v>
      </c>
      <c r="G182">
        <f t="shared" si="9"/>
        <v>484.51199999999994</v>
      </c>
      <c r="H182" t="str">
        <f>IF(Table3[[#This Row],[Sales Amount]]&gt;500,"Large Order",  "Standard Order")</f>
        <v>Large Order</v>
      </c>
      <c r="I182" t="str">
        <f>IF(AND(Table3[[#This Row],[Sales Amount]]&gt;750,DATA_CLEANING!H183&gt;5), "GREAT ORDER", "LOW ORDER")</f>
        <v>GREAT ORDER</v>
      </c>
      <c r="K182" s="26">
        <f>DATA_CLEANING!H182</f>
        <v>5</v>
      </c>
      <c r="L182" t="str">
        <f>DATA_CLEANING!C182</f>
        <v>CUST-285</v>
      </c>
      <c r="U182" s="5">
        <f>VALUE(DATA_CLEANING!J182)*
IF(VALUE(DATA_CLEANING!J182)&gt;=6000,30%,
IF(VALUE(DATA_CLEANING!J182)&gt;=5000,20%,
IF(VALUE(DATA_CLEANING!J182)&gt;=3000,10%,
IF(VALUE(DATA_CLEANING!J182)&gt;=1000,5%,0))))</f>
        <v>58.08</v>
      </c>
    </row>
    <row r="183" spans="3:21" x14ac:dyDescent="0.25">
      <c r="C183">
        <f>DATA_CLEANING!J184</f>
        <v>2572.5699999999997</v>
      </c>
      <c r="D183">
        <f t="shared" si="9"/>
        <v>128.6285</v>
      </c>
      <c r="E183">
        <f t="shared" si="9"/>
        <v>257.25700000000001</v>
      </c>
      <c r="F183">
        <f t="shared" si="9"/>
        <v>514.51400000000001</v>
      </c>
      <c r="G183">
        <f t="shared" si="9"/>
        <v>771.77099999999984</v>
      </c>
      <c r="H183" t="str">
        <f>IF(Table3[[#This Row],[Sales Amount]]&gt;500,"Large Order",  "Standard Order")</f>
        <v>Large Order</v>
      </c>
      <c r="I183" t="str">
        <f>IF(AND(Table3[[#This Row],[Sales Amount]]&gt;750,DATA_CLEANING!H184&gt;5), "GREAT ORDER", "LOW ORDER")</f>
        <v>GREAT ORDER</v>
      </c>
      <c r="K183" s="26">
        <f>DATA_CLEANING!H183</f>
        <v>14</v>
      </c>
      <c r="L183" t="str">
        <f>DATA_CLEANING!C183</f>
        <v>CUST-286</v>
      </c>
      <c r="U183" s="5">
        <f>VALUE(DATA_CLEANING!J183)*
IF(VALUE(DATA_CLEANING!J183)&gt;=6000,30%,
IF(VALUE(DATA_CLEANING!J183)&gt;=5000,20%,
IF(VALUE(DATA_CLEANING!J183)&gt;=3000,10%,
IF(VALUE(DATA_CLEANING!J183)&gt;=1000,5%,0))))</f>
        <v>80.75200000000001</v>
      </c>
    </row>
    <row r="184" spans="3:21" x14ac:dyDescent="0.25">
      <c r="C184">
        <f>DATA_CLEANING!J185</f>
        <v>5084.8599999999997</v>
      </c>
      <c r="D184">
        <f t="shared" si="9"/>
        <v>254.24299999999999</v>
      </c>
      <c r="E184">
        <f t="shared" si="9"/>
        <v>508.48599999999999</v>
      </c>
      <c r="F184">
        <f t="shared" si="9"/>
        <v>1016.972</v>
      </c>
      <c r="G184">
        <f t="shared" si="9"/>
        <v>1525.4579999999999</v>
      </c>
      <c r="H184" t="str">
        <f>IF(Table3[[#This Row],[Sales Amount]]&gt;500,"Large Order",  "Standard Order")</f>
        <v>Large Order</v>
      </c>
      <c r="I184" t="str">
        <f>IF(AND(Table3[[#This Row],[Sales Amount]]&gt;750,DATA_CLEANING!H185&gt;5), "GREAT ORDER", "LOW ORDER")</f>
        <v>GREAT ORDER</v>
      </c>
      <c r="K184" s="26">
        <f>DATA_CLEANING!H184</f>
        <v>7</v>
      </c>
      <c r="L184" t="str">
        <f>DATA_CLEANING!C184</f>
        <v>CUST-287</v>
      </c>
      <c r="U184" s="5">
        <f>VALUE(DATA_CLEANING!J184)*
IF(VALUE(DATA_CLEANING!J184)&gt;=6000,30%,
IF(VALUE(DATA_CLEANING!J184)&gt;=5000,20%,
IF(VALUE(DATA_CLEANING!J184)&gt;=3000,10%,
IF(VALUE(DATA_CLEANING!J184)&gt;=1000,5%,0))))</f>
        <v>128.6285</v>
      </c>
    </row>
    <row r="185" spans="3:21" x14ac:dyDescent="0.25">
      <c r="C185">
        <f>DATA_CLEANING!J186</f>
        <v>4464.12</v>
      </c>
      <c r="D185">
        <f t="shared" si="9"/>
        <v>223.20600000000002</v>
      </c>
      <c r="E185">
        <f t="shared" si="9"/>
        <v>446.41200000000003</v>
      </c>
      <c r="F185">
        <f t="shared" si="9"/>
        <v>892.82400000000007</v>
      </c>
      <c r="G185">
        <f t="shared" si="9"/>
        <v>1339.2359999999999</v>
      </c>
      <c r="H185" t="str">
        <f>IF(Table3[[#This Row],[Sales Amount]]&gt;500,"Large Order",  "Standard Order")</f>
        <v>Large Order</v>
      </c>
      <c r="I185" t="str">
        <f>IF(AND(Table3[[#This Row],[Sales Amount]]&gt;750,DATA_CLEANING!H186&gt;5), "GREAT ORDER", "LOW ORDER")</f>
        <v>GREAT ORDER</v>
      </c>
      <c r="K185" s="26">
        <f>DATA_CLEANING!H185</f>
        <v>11</v>
      </c>
      <c r="L185" t="str">
        <f>DATA_CLEANING!C185</f>
        <v>CUST-288</v>
      </c>
      <c r="U185" s="5">
        <f>VALUE(DATA_CLEANING!J185)*
IF(VALUE(DATA_CLEANING!J185)&gt;=6000,30%,
IF(VALUE(DATA_CLEANING!J185)&gt;=5000,20%,
IF(VALUE(DATA_CLEANING!J185)&gt;=3000,10%,
IF(VALUE(DATA_CLEANING!J185)&gt;=1000,5%,0))))</f>
        <v>1016.972</v>
      </c>
    </row>
    <row r="186" spans="3:21" x14ac:dyDescent="0.25">
      <c r="C186">
        <f>DATA_CLEANING!J187</f>
        <v>2029.8600000000001</v>
      </c>
      <c r="D186">
        <f t="shared" si="9"/>
        <v>101.49300000000001</v>
      </c>
      <c r="E186">
        <f t="shared" si="9"/>
        <v>202.98600000000002</v>
      </c>
      <c r="F186">
        <f t="shared" si="9"/>
        <v>405.97200000000004</v>
      </c>
      <c r="G186">
        <f t="shared" si="9"/>
        <v>608.95799999999997</v>
      </c>
      <c r="H186" t="str">
        <f>IF(Table3[[#This Row],[Sales Amount]]&gt;500,"Large Order",  "Standard Order")</f>
        <v>Large Order</v>
      </c>
      <c r="I186" t="str">
        <f>IF(AND(Table3[[#This Row],[Sales Amount]]&gt;750,DATA_CLEANING!H187&gt;5), "GREAT ORDER", "LOW ORDER")</f>
        <v>GREAT ORDER</v>
      </c>
      <c r="K186" s="26">
        <f>DATA_CLEANING!H186</f>
        <v>12</v>
      </c>
      <c r="L186" t="str">
        <f>DATA_CLEANING!C186</f>
        <v>CUST-289</v>
      </c>
      <c r="U186" s="5">
        <f>VALUE(DATA_CLEANING!J186)*
IF(VALUE(DATA_CLEANING!J186)&gt;=6000,30%,
IF(VALUE(DATA_CLEANING!J186)&gt;=5000,20%,
IF(VALUE(DATA_CLEANING!J186)&gt;=3000,10%,
IF(VALUE(DATA_CLEANING!J186)&gt;=1000,5%,0))))</f>
        <v>446.41200000000003</v>
      </c>
    </row>
    <row r="187" spans="3:21" x14ac:dyDescent="0.25">
      <c r="C187">
        <f>DATA_CLEANING!J188</f>
        <v>911.55</v>
      </c>
      <c r="D187">
        <f t="shared" si="9"/>
        <v>45.577500000000001</v>
      </c>
      <c r="E187">
        <f t="shared" si="9"/>
        <v>91.155000000000001</v>
      </c>
      <c r="F187">
        <f t="shared" si="9"/>
        <v>182.31</v>
      </c>
      <c r="G187">
        <f t="shared" si="9"/>
        <v>273.46499999999997</v>
      </c>
      <c r="H187" t="str">
        <f>IF(Table3[[#This Row],[Sales Amount]]&gt;500,"Large Order",  "Standard Order")</f>
        <v>Large Order</v>
      </c>
      <c r="I187" t="str">
        <f>IF(AND(Table3[[#This Row],[Sales Amount]]&gt;750,DATA_CLEANING!H188&gt;5), "GREAT ORDER", "LOW ORDER")</f>
        <v>LOW ORDER</v>
      </c>
      <c r="K187" s="26">
        <f>DATA_CLEANING!H187</f>
        <v>6</v>
      </c>
      <c r="L187" t="str">
        <f>DATA_CLEANING!C187</f>
        <v>CUST-290</v>
      </c>
      <c r="U187" s="5">
        <f>VALUE(DATA_CLEANING!J187)*
IF(VALUE(DATA_CLEANING!J187)&gt;=6000,30%,
IF(VALUE(DATA_CLEANING!J187)&gt;=5000,20%,
IF(VALUE(DATA_CLEANING!J187)&gt;=3000,10%,
IF(VALUE(DATA_CLEANING!J187)&gt;=1000,5%,0))))</f>
        <v>101.49300000000001</v>
      </c>
    </row>
    <row r="188" spans="3:21" x14ac:dyDescent="0.25">
      <c r="C188">
        <f>DATA_CLEANING!J189</f>
        <v>882.42000000000007</v>
      </c>
      <c r="D188">
        <f t="shared" si="9"/>
        <v>44.121000000000009</v>
      </c>
      <c r="E188">
        <f t="shared" si="9"/>
        <v>88.242000000000019</v>
      </c>
      <c r="F188">
        <f t="shared" si="9"/>
        <v>176.48400000000004</v>
      </c>
      <c r="G188">
        <f t="shared" si="9"/>
        <v>264.726</v>
      </c>
      <c r="H188" t="str">
        <f>IF(Table3[[#This Row],[Sales Amount]]&gt;500,"Large Order",  "Standard Order")</f>
        <v>Large Order</v>
      </c>
      <c r="I188" t="str">
        <f>IF(AND(Table3[[#This Row],[Sales Amount]]&gt;750,DATA_CLEANING!H189&gt;5), "GREAT ORDER", "LOW ORDER")</f>
        <v>GREAT ORDER</v>
      </c>
      <c r="K188" s="26">
        <f>DATA_CLEANING!H188</f>
        <v>5</v>
      </c>
      <c r="L188" t="str">
        <f>DATA_CLEANING!C188</f>
        <v>CUST-291</v>
      </c>
      <c r="U188" s="5">
        <f>VALUE(DATA_CLEANING!J188)*
IF(VALUE(DATA_CLEANING!J188)&gt;=6000,30%,
IF(VALUE(DATA_CLEANING!J188)&gt;=5000,20%,
IF(VALUE(DATA_CLEANING!J188)&gt;=3000,10%,
IF(VALUE(DATA_CLEANING!J188)&gt;=1000,5%,0))))</f>
        <v>0</v>
      </c>
    </row>
    <row r="189" spans="3:21" x14ac:dyDescent="0.25">
      <c r="C189">
        <f>DATA_CLEANING!J190</f>
        <v>2863.51</v>
      </c>
      <c r="D189">
        <f t="shared" si="9"/>
        <v>143.17550000000003</v>
      </c>
      <c r="E189">
        <f t="shared" si="9"/>
        <v>286.35100000000006</v>
      </c>
      <c r="F189">
        <f t="shared" si="9"/>
        <v>572.70200000000011</v>
      </c>
      <c r="G189">
        <f t="shared" si="9"/>
        <v>859.053</v>
      </c>
      <c r="H189" t="str">
        <f>IF(Table3[[#This Row],[Sales Amount]]&gt;500,"Large Order",  "Standard Order")</f>
        <v>Large Order</v>
      </c>
      <c r="I189" t="str">
        <f>IF(AND(Table3[[#This Row],[Sales Amount]]&gt;750,DATA_CLEANING!H190&gt;5), "GREAT ORDER", "LOW ORDER")</f>
        <v>GREAT ORDER</v>
      </c>
      <c r="K189" s="26">
        <f>DATA_CLEANING!H189</f>
        <v>14</v>
      </c>
      <c r="L189" t="str">
        <f>DATA_CLEANING!C189</f>
        <v>CUST-292</v>
      </c>
      <c r="U189" s="5">
        <f>VALUE(DATA_CLEANING!J189)*
IF(VALUE(DATA_CLEANING!J189)&gt;=6000,30%,
IF(VALUE(DATA_CLEANING!J189)&gt;=5000,20%,
IF(VALUE(DATA_CLEANING!J189)&gt;=3000,10%,
IF(VALUE(DATA_CLEANING!J189)&gt;=1000,5%,0))))</f>
        <v>0</v>
      </c>
    </row>
    <row r="190" spans="3:21" x14ac:dyDescent="0.25">
      <c r="C190">
        <f>DATA_CLEANING!J191</f>
        <v>4985.0999999999995</v>
      </c>
      <c r="D190">
        <f t="shared" si="9"/>
        <v>249.255</v>
      </c>
      <c r="E190">
        <f t="shared" si="9"/>
        <v>498.51</v>
      </c>
      <c r="F190">
        <f t="shared" si="9"/>
        <v>997.02</v>
      </c>
      <c r="G190">
        <f t="shared" si="9"/>
        <v>1495.5299999999997</v>
      </c>
      <c r="H190" t="str">
        <f>IF(Table3[[#This Row],[Sales Amount]]&gt;500,"Large Order",  "Standard Order")</f>
        <v>Large Order</v>
      </c>
      <c r="I190" t="str">
        <f>IF(AND(Table3[[#This Row],[Sales Amount]]&gt;750,DATA_CLEANING!H191&gt;5), "GREAT ORDER", "LOW ORDER")</f>
        <v>GREAT ORDER</v>
      </c>
      <c r="K190" s="26">
        <f>DATA_CLEANING!H190</f>
        <v>13</v>
      </c>
      <c r="L190" t="str">
        <f>DATA_CLEANING!C190</f>
        <v>CUST-293</v>
      </c>
      <c r="U190" s="5">
        <f>VALUE(DATA_CLEANING!J190)*
IF(VALUE(DATA_CLEANING!J190)&gt;=6000,30%,
IF(VALUE(DATA_CLEANING!J190)&gt;=5000,20%,
IF(VALUE(DATA_CLEANING!J190)&gt;=3000,10%,
IF(VALUE(DATA_CLEANING!J190)&gt;=1000,5%,0))))</f>
        <v>143.17550000000003</v>
      </c>
    </row>
    <row r="191" spans="3:21" x14ac:dyDescent="0.25">
      <c r="C191">
        <f>DATA_CLEANING!J192</f>
        <v>2098.2000000000003</v>
      </c>
      <c r="D191">
        <f t="shared" si="9"/>
        <v>104.91000000000003</v>
      </c>
      <c r="E191">
        <f t="shared" si="9"/>
        <v>209.82000000000005</v>
      </c>
      <c r="F191">
        <f t="shared" si="9"/>
        <v>419.6400000000001</v>
      </c>
      <c r="G191">
        <f t="shared" si="9"/>
        <v>629.46</v>
      </c>
      <c r="H191" t="str">
        <f>IF(Table3[[#This Row],[Sales Amount]]&gt;500,"Large Order",  "Standard Order")</f>
        <v>Large Order</v>
      </c>
      <c r="I191" t="str">
        <f>IF(AND(Table3[[#This Row],[Sales Amount]]&gt;750,DATA_CLEANING!H192&gt;5), "GREAT ORDER", "LOW ORDER")</f>
        <v>GREAT ORDER</v>
      </c>
      <c r="K191" s="26">
        <f>DATA_CLEANING!H191</f>
        <v>15</v>
      </c>
      <c r="L191" t="str">
        <f>DATA_CLEANING!C191</f>
        <v>CUST-294</v>
      </c>
      <c r="U191" s="5">
        <f>VALUE(DATA_CLEANING!J191)*
IF(VALUE(DATA_CLEANING!J191)&gt;=6000,30%,
IF(VALUE(DATA_CLEANING!J191)&gt;=5000,20%,
IF(VALUE(DATA_CLEANING!J191)&gt;=3000,10%,
IF(VALUE(DATA_CLEANING!J191)&gt;=1000,5%,0))))</f>
        <v>498.51</v>
      </c>
    </row>
    <row r="192" spans="3:21" x14ac:dyDescent="0.25">
      <c r="C192">
        <f>DATA_CLEANING!J193</f>
        <v>2270.1799999999998</v>
      </c>
      <c r="D192">
        <f t="shared" si="9"/>
        <v>113.509</v>
      </c>
      <c r="E192">
        <f t="shared" si="9"/>
        <v>227.018</v>
      </c>
      <c r="F192">
        <f t="shared" si="9"/>
        <v>454.036</v>
      </c>
      <c r="G192">
        <f t="shared" si="9"/>
        <v>681.05399999999997</v>
      </c>
      <c r="H192" t="str">
        <f>IF(Table3[[#This Row],[Sales Amount]]&gt;500,"Large Order",  "Standard Order")</f>
        <v>Large Order</v>
      </c>
      <c r="I192" t="str">
        <f>IF(AND(Table3[[#This Row],[Sales Amount]]&gt;750,DATA_CLEANING!H193&gt;5), "GREAT ORDER", "LOW ORDER")</f>
        <v>GREAT ORDER</v>
      </c>
      <c r="K192" s="26">
        <f>DATA_CLEANING!H192</f>
        <v>13</v>
      </c>
      <c r="L192" t="str">
        <f>DATA_CLEANING!C192</f>
        <v>CUST-295</v>
      </c>
      <c r="U192" s="5">
        <f>VALUE(DATA_CLEANING!J192)*
IF(VALUE(DATA_CLEANING!J192)&gt;=6000,30%,
IF(VALUE(DATA_CLEANING!J192)&gt;=5000,20%,
IF(VALUE(DATA_CLEANING!J192)&gt;=3000,10%,
IF(VALUE(DATA_CLEANING!J192)&gt;=1000,5%,0))))</f>
        <v>104.91000000000003</v>
      </c>
    </row>
    <row r="193" spans="3:21" x14ac:dyDescent="0.25">
      <c r="C193">
        <f>DATA_CLEANING!J194</f>
        <v>1510.04</v>
      </c>
      <c r="D193">
        <f t="shared" si="9"/>
        <v>75.501999999999995</v>
      </c>
      <c r="E193">
        <f t="shared" si="9"/>
        <v>151.00399999999999</v>
      </c>
      <c r="F193">
        <f t="shared" si="9"/>
        <v>302.00799999999998</v>
      </c>
      <c r="G193">
        <f t="shared" si="9"/>
        <v>453.012</v>
      </c>
      <c r="H193" t="str">
        <f>IF(Table3[[#This Row],[Sales Amount]]&gt;500,"Large Order",  "Standard Order")</f>
        <v>Large Order</v>
      </c>
      <c r="I193" t="str">
        <f>IF(AND(Table3[[#This Row],[Sales Amount]]&gt;750,DATA_CLEANING!H194&gt;5), "GREAT ORDER", "LOW ORDER")</f>
        <v>GREAT ORDER</v>
      </c>
      <c r="K193" s="26">
        <f>DATA_CLEANING!H193</f>
        <v>11</v>
      </c>
      <c r="L193" t="str">
        <f>DATA_CLEANING!C193</f>
        <v>CUST-296</v>
      </c>
      <c r="U193" s="5">
        <f>VALUE(DATA_CLEANING!J193)*
IF(VALUE(DATA_CLEANING!J193)&gt;=6000,30%,
IF(VALUE(DATA_CLEANING!J193)&gt;=5000,20%,
IF(VALUE(DATA_CLEANING!J193)&gt;=3000,10%,
IF(VALUE(DATA_CLEANING!J193)&gt;=1000,5%,0))))</f>
        <v>113.509</v>
      </c>
    </row>
    <row r="194" spans="3:21" x14ac:dyDescent="0.25">
      <c r="C194">
        <f>DATA_CLEANING!J195</f>
        <v>516.30000000000007</v>
      </c>
      <c r="D194">
        <f t="shared" si="9"/>
        <v>25.815000000000005</v>
      </c>
      <c r="E194">
        <f t="shared" si="9"/>
        <v>51.63000000000001</v>
      </c>
      <c r="F194">
        <f t="shared" si="9"/>
        <v>103.26000000000002</v>
      </c>
      <c r="G194">
        <f t="shared" si="9"/>
        <v>154.89000000000001</v>
      </c>
      <c r="H194" t="str">
        <f>IF(Table3[[#This Row],[Sales Amount]]&gt;500,"Large Order",  "Standard Order")</f>
        <v>Large Order</v>
      </c>
      <c r="I194" t="str">
        <f>IF(AND(Table3[[#This Row],[Sales Amount]]&gt;750,DATA_CLEANING!H195&gt;5), "GREAT ORDER", "LOW ORDER")</f>
        <v>LOW ORDER</v>
      </c>
      <c r="K194" s="26">
        <f>DATA_CLEANING!H194</f>
        <v>7</v>
      </c>
      <c r="L194" t="str">
        <f>DATA_CLEANING!C194</f>
        <v>CUST-297</v>
      </c>
      <c r="U194" s="5">
        <f>VALUE(DATA_CLEANING!J194)*
IF(VALUE(DATA_CLEANING!J194)&gt;=6000,30%,
IF(VALUE(DATA_CLEANING!J194)&gt;=5000,20%,
IF(VALUE(DATA_CLEANING!J194)&gt;=3000,10%,
IF(VALUE(DATA_CLEANING!J194)&gt;=1000,5%,0))))</f>
        <v>75.501999999999995</v>
      </c>
    </row>
    <row r="195" spans="3:21" x14ac:dyDescent="0.25">
      <c r="C195">
        <f>DATA_CLEANING!J196</f>
        <v>286.66000000000003</v>
      </c>
      <c r="D195">
        <f t="shared" si="9"/>
        <v>14.333000000000002</v>
      </c>
      <c r="E195">
        <f t="shared" si="9"/>
        <v>28.666000000000004</v>
      </c>
      <c r="F195">
        <f t="shared" si="9"/>
        <v>57.332000000000008</v>
      </c>
      <c r="G195">
        <f t="shared" si="9"/>
        <v>85.998000000000005</v>
      </c>
      <c r="H195" t="str">
        <f>IF(Table3[[#This Row],[Sales Amount]]&gt;500,"Large Order",  "Standard Order")</f>
        <v>Standard Order</v>
      </c>
      <c r="I195" t="str">
        <f>IF(AND(Table3[[#This Row],[Sales Amount]]&gt;750,DATA_CLEANING!H196&gt;5), "GREAT ORDER", "LOW ORDER")</f>
        <v>LOW ORDER</v>
      </c>
      <c r="K195" s="26">
        <f>DATA_CLEANING!H195</f>
        <v>10</v>
      </c>
      <c r="L195" t="str">
        <f>DATA_CLEANING!C195</f>
        <v>CUST-298</v>
      </c>
      <c r="U195" s="5">
        <f>VALUE(DATA_CLEANING!J195)*
IF(VALUE(DATA_CLEANING!J195)&gt;=6000,30%,
IF(VALUE(DATA_CLEANING!J195)&gt;=5000,20%,
IF(VALUE(DATA_CLEANING!J195)&gt;=3000,10%,
IF(VALUE(DATA_CLEANING!J195)&gt;=1000,5%,0))))</f>
        <v>0</v>
      </c>
    </row>
    <row r="196" spans="3:21" x14ac:dyDescent="0.25">
      <c r="C196">
        <f>DATA_CLEANING!J197</f>
        <v>578.15</v>
      </c>
      <c r="D196">
        <f t="shared" si="9"/>
        <v>28.907499999999999</v>
      </c>
      <c r="E196">
        <f t="shared" si="9"/>
        <v>57.814999999999998</v>
      </c>
      <c r="F196">
        <f t="shared" si="9"/>
        <v>115.63</v>
      </c>
      <c r="G196">
        <f t="shared" si="9"/>
        <v>173.44499999999999</v>
      </c>
      <c r="H196" t="str">
        <f>IF(Table3[[#This Row],[Sales Amount]]&gt;500,"Large Order",  "Standard Order")</f>
        <v>Large Order</v>
      </c>
      <c r="I196" t="str">
        <f>IF(AND(Table3[[#This Row],[Sales Amount]]&gt;750,DATA_CLEANING!H197&gt;5), "GREAT ORDER", "LOW ORDER")</f>
        <v>LOW ORDER</v>
      </c>
      <c r="K196" s="26">
        <f>DATA_CLEANING!H196</f>
        <v>2</v>
      </c>
      <c r="L196" t="str">
        <f>DATA_CLEANING!C196</f>
        <v>CUST-299</v>
      </c>
      <c r="U196" s="5">
        <f>VALUE(DATA_CLEANING!J196)*
IF(VALUE(DATA_CLEANING!J196)&gt;=6000,30%,
IF(VALUE(DATA_CLEANING!J196)&gt;=5000,20%,
IF(VALUE(DATA_CLEANING!J196)&gt;=3000,10%,
IF(VALUE(DATA_CLEANING!J196)&gt;=1000,5%,0))))</f>
        <v>0</v>
      </c>
    </row>
    <row r="197" spans="3:21" x14ac:dyDescent="0.25">
      <c r="C197">
        <f>DATA_CLEANING!J198</f>
        <v>3767.06</v>
      </c>
      <c r="D197">
        <f t="shared" si="9"/>
        <v>188.35300000000001</v>
      </c>
      <c r="E197">
        <f t="shared" si="9"/>
        <v>376.70600000000002</v>
      </c>
      <c r="F197">
        <f t="shared" si="9"/>
        <v>753.41200000000003</v>
      </c>
      <c r="G197">
        <f t="shared" si="9"/>
        <v>1130.1179999999999</v>
      </c>
      <c r="H197" t="str">
        <f>IF(Table3[[#This Row],[Sales Amount]]&gt;500,"Large Order",  "Standard Order")</f>
        <v>Large Order</v>
      </c>
      <c r="I197" t="str">
        <f>IF(AND(Table3[[#This Row],[Sales Amount]]&gt;750,DATA_CLEANING!H198&gt;5), "GREAT ORDER", "LOW ORDER")</f>
        <v>GREAT ORDER</v>
      </c>
      <c r="K197" s="26">
        <f>DATA_CLEANING!H197</f>
        <v>5</v>
      </c>
      <c r="L197" t="str">
        <f>DATA_CLEANING!C197</f>
        <v>CUST-300</v>
      </c>
      <c r="U197" s="5">
        <f>VALUE(DATA_CLEANING!J197)*
IF(VALUE(DATA_CLEANING!J197)&gt;=6000,30%,
IF(VALUE(DATA_CLEANING!J197)&gt;=5000,20%,
IF(VALUE(DATA_CLEANING!J197)&gt;=3000,10%,
IF(VALUE(DATA_CLEANING!J197)&gt;=1000,5%,0))))</f>
        <v>0</v>
      </c>
    </row>
    <row r="198" spans="3:21" x14ac:dyDescent="0.25">
      <c r="C198">
        <f>DATA_CLEANING!J199</f>
        <v>368.40000000000003</v>
      </c>
      <c r="D198">
        <f t="shared" si="9"/>
        <v>18.420000000000002</v>
      </c>
      <c r="E198">
        <f t="shared" si="9"/>
        <v>36.840000000000003</v>
      </c>
      <c r="F198">
        <f t="shared" si="9"/>
        <v>73.680000000000007</v>
      </c>
      <c r="G198">
        <f t="shared" si="9"/>
        <v>110.52000000000001</v>
      </c>
      <c r="H198" t="str">
        <f>IF(Table3[[#This Row],[Sales Amount]]&gt;500,"Large Order",  "Standard Order")</f>
        <v>Standard Order</v>
      </c>
      <c r="I198" t="str">
        <f>IF(AND(Table3[[#This Row],[Sales Amount]]&gt;750,DATA_CLEANING!H199&gt;5), "GREAT ORDER", "LOW ORDER")</f>
        <v>LOW ORDER</v>
      </c>
      <c r="K198" s="26">
        <f>DATA_CLEANING!H198</f>
        <v>11</v>
      </c>
      <c r="L198" t="str">
        <f>DATA_CLEANING!C198</f>
        <v>CUST-301</v>
      </c>
      <c r="U198" s="5">
        <f>VALUE(DATA_CLEANING!J198)*
IF(VALUE(DATA_CLEANING!J198)&gt;=6000,30%,
IF(VALUE(DATA_CLEANING!J198)&gt;=5000,20%,
IF(VALUE(DATA_CLEANING!J198)&gt;=3000,10%,
IF(VALUE(DATA_CLEANING!J198)&gt;=1000,5%,0))))</f>
        <v>376.70600000000002</v>
      </c>
    </row>
    <row r="199" spans="3:21" x14ac:dyDescent="0.25">
      <c r="C199">
        <f>DATA_CLEANING!J200</f>
        <v>412.74</v>
      </c>
      <c r="D199">
        <f t="shared" si="9"/>
        <v>20.637</v>
      </c>
      <c r="E199">
        <f t="shared" si="9"/>
        <v>41.274000000000001</v>
      </c>
      <c r="F199">
        <f t="shared" si="9"/>
        <v>82.548000000000002</v>
      </c>
      <c r="G199">
        <f t="shared" si="9"/>
        <v>123.822</v>
      </c>
      <c r="H199" t="str">
        <f>IF(Table3[[#This Row],[Sales Amount]]&gt;500,"Large Order",  "Standard Order")</f>
        <v>Standard Order</v>
      </c>
      <c r="I199" t="str">
        <f>IF(AND(Table3[[#This Row],[Sales Amount]]&gt;750,DATA_CLEANING!H200&gt;5), "GREAT ORDER", "LOW ORDER")</f>
        <v>LOW ORDER</v>
      </c>
      <c r="K199" s="26">
        <f>DATA_CLEANING!H199</f>
        <v>10</v>
      </c>
      <c r="L199" t="str">
        <f>DATA_CLEANING!C199</f>
        <v>CUST-302</v>
      </c>
      <c r="U199" s="5">
        <f>VALUE(DATA_CLEANING!J199)*
IF(VALUE(DATA_CLEANING!J199)&gt;=6000,30%,
IF(VALUE(DATA_CLEANING!J199)&gt;=5000,20%,
IF(VALUE(DATA_CLEANING!J199)&gt;=3000,10%,
IF(VALUE(DATA_CLEANING!J199)&gt;=1000,5%,0))))</f>
        <v>0</v>
      </c>
    </row>
    <row r="200" spans="3:21" x14ac:dyDescent="0.25">
      <c r="C200">
        <f>DATA_CLEANING!J201</f>
        <v>1473</v>
      </c>
      <c r="D200">
        <f t="shared" si="9"/>
        <v>73.650000000000006</v>
      </c>
      <c r="E200">
        <f t="shared" si="9"/>
        <v>147.30000000000001</v>
      </c>
      <c r="F200">
        <f t="shared" si="9"/>
        <v>294.60000000000002</v>
      </c>
      <c r="G200">
        <f t="shared" si="9"/>
        <v>441.9</v>
      </c>
      <c r="H200" t="str">
        <f>IF(Table3[[#This Row],[Sales Amount]]&gt;500,"Large Order",  "Standard Order")</f>
        <v>Large Order</v>
      </c>
      <c r="I200" t="str">
        <f>IF(AND(Table3[[#This Row],[Sales Amount]]&gt;750,DATA_CLEANING!H201&gt;5), "GREAT ORDER", "LOW ORDER")</f>
        <v>GREAT ORDER</v>
      </c>
      <c r="K200" s="26">
        <f>DATA_CLEANING!H200</f>
        <v>6</v>
      </c>
      <c r="L200" t="str">
        <f>DATA_CLEANING!C200</f>
        <v>CUST-303</v>
      </c>
      <c r="U200" s="5">
        <f>VALUE(DATA_CLEANING!J200)*
IF(VALUE(DATA_CLEANING!J200)&gt;=6000,30%,
IF(VALUE(DATA_CLEANING!J200)&gt;=5000,20%,
IF(VALUE(DATA_CLEANING!J200)&gt;=3000,10%,
IF(VALUE(DATA_CLEANING!J200)&gt;=1000,5%,0))))</f>
        <v>0</v>
      </c>
    </row>
    <row r="201" spans="3:21" x14ac:dyDescent="0.25">
      <c r="C201">
        <f>DATA_CLEANING!J202</f>
        <v>223.75</v>
      </c>
      <c r="D201">
        <f t="shared" si="9"/>
        <v>11.1875</v>
      </c>
      <c r="E201">
        <f t="shared" si="9"/>
        <v>22.375</v>
      </c>
      <c r="F201">
        <f t="shared" si="9"/>
        <v>44.75</v>
      </c>
      <c r="G201">
        <f t="shared" si="9"/>
        <v>67.125</v>
      </c>
      <c r="H201" t="str">
        <f>IF(Table3[[#This Row],[Sales Amount]]&gt;500,"Large Order",  "Standard Order")</f>
        <v>Standard Order</v>
      </c>
      <c r="I201" t="str">
        <f>IF(AND(Table3[[#This Row],[Sales Amount]]&gt;750,DATA_CLEANING!H202&gt;5), "GREAT ORDER", "LOW ORDER")</f>
        <v>LOW ORDER</v>
      </c>
      <c r="K201" s="26">
        <f>DATA_CLEANING!H201</f>
        <v>12</v>
      </c>
      <c r="L201" t="str">
        <f>DATA_CLEANING!C201</f>
        <v>CUST-304</v>
      </c>
      <c r="U201" s="5">
        <f>VALUE(DATA_CLEANING!J201)*
IF(VALUE(DATA_CLEANING!J201)&gt;=6000,30%,
IF(VALUE(DATA_CLEANING!J201)&gt;=5000,20%,
IF(VALUE(DATA_CLEANING!J201)&gt;=3000,10%,
IF(VALUE(DATA_CLEANING!J201)&gt;=1000,5%,0))))</f>
        <v>73.650000000000006</v>
      </c>
    </row>
    <row r="202" spans="3:21" x14ac:dyDescent="0.25">
      <c r="C202">
        <f>DATA_CLEANING!J203</f>
        <v>313.48</v>
      </c>
      <c r="D202">
        <f t="shared" ref="D202:G207" si="10">$C202*D$1</f>
        <v>15.674000000000001</v>
      </c>
      <c r="E202">
        <f t="shared" si="10"/>
        <v>31.348000000000003</v>
      </c>
      <c r="F202">
        <f t="shared" si="10"/>
        <v>62.696000000000005</v>
      </c>
      <c r="G202">
        <f t="shared" si="10"/>
        <v>94.043999999999997</v>
      </c>
      <c r="H202" t="str">
        <f>IF(Table3[[#This Row],[Sales Amount]]&gt;500,"Large Order",  "Standard Order")</f>
        <v>Standard Order</v>
      </c>
      <c r="I202" t="str">
        <f>IF(AND(Table3[[#This Row],[Sales Amount]]&gt;750,DATA_CLEANING!H203&gt;5), "GREAT ORDER", "LOW ORDER")</f>
        <v>LOW ORDER</v>
      </c>
      <c r="K202" s="26">
        <f>DATA_CLEANING!H202</f>
        <v>1</v>
      </c>
      <c r="L202" t="str">
        <f>DATA_CLEANING!C202</f>
        <v>CUST-305</v>
      </c>
      <c r="U202" s="5">
        <f>VALUE(DATA_CLEANING!J202)*
IF(VALUE(DATA_CLEANING!J202)&gt;=6000,30%,
IF(VALUE(DATA_CLEANING!J202)&gt;=5000,20%,
IF(VALUE(DATA_CLEANING!J202)&gt;=3000,10%,
IF(VALUE(DATA_CLEANING!J202)&gt;=1000,5%,0))))</f>
        <v>0</v>
      </c>
    </row>
    <row r="203" spans="3:21" x14ac:dyDescent="0.25">
      <c r="C203">
        <f>DATA_CLEANING!J204</f>
        <v>24.6</v>
      </c>
      <c r="D203">
        <f t="shared" si="10"/>
        <v>1.2300000000000002</v>
      </c>
      <c r="E203">
        <f t="shared" si="10"/>
        <v>2.4600000000000004</v>
      </c>
      <c r="F203">
        <f t="shared" si="10"/>
        <v>4.9200000000000008</v>
      </c>
      <c r="G203">
        <f t="shared" si="10"/>
        <v>7.38</v>
      </c>
      <c r="H203" t="str">
        <f>IF(Table3[[#This Row],[Sales Amount]]&gt;500,"Large Order",  "Standard Order")</f>
        <v>Standard Order</v>
      </c>
      <c r="I203" t="str">
        <f>IF(AND(Table3[[#This Row],[Sales Amount]]&gt;750,DATA_CLEANING!H204&gt;5), "GREAT ORDER", "LOW ORDER")</f>
        <v>LOW ORDER</v>
      </c>
      <c r="K203" s="26">
        <f>DATA_CLEANING!H203</f>
        <v>4</v>
      </c>
      <c r="L203" t="str">
        <f>DATA_CLEANING!C203</f>
        <v>CUST-306</v>
      </c>
      <c r="U203" s="5">
        <f>VALUE(DATA_CLEANING!J203)*
IF(VALUE(DATA_CLEANING!J203)&gt;=6000,30%,
IF(VALUE(DATA_CLEANING!J203)&gt;=5000,20%,
IF(VALUE(DATA_CLEANING!J203)&gt;=3000,10%,
IF(VALUE(DATA_CLEANING!J203)&gt;=1000,5%,0))))</f>
        <v>0</v>
      </c>
    </row>
    <row r="204" spans="3:21" x14ac:dyDescent="0.25">
      <c r="C204">
        <f>DATA_CLEANING!J205</f>
        <v>1443.4</v>
      </c>
      <c r="D204">
        <f t="shared" si="10"/>
        <v>72.17</v>
      </c>
      <c r="E204">
        <f t="shared" si="10"/>
        <v>144.34</v>
      </c>
      <c r="F204">
        <f t="shared" si="10"/>
        <v>288.68</v>
      </c>
      <c r="G204">
        <f t="shared" si="10"/>
        <v>433.02000000000004</v>
      </c>
      <c r="H204" t="str">
        <f>IF(Table3[[#This Row],[Sales Amount]]&gt;500,"Large Order",  "Standard Order")</f>
        <v>Large Order</v>
      </c>
      <c r="I204" t="str">
        <f>IF(AND(Table3[[#This Row],[Sales Amount]]&gt;750,DATA_CLEANING!H205&gt;5), "GREAT ORDER", "LOW ORDER")</f>
        <v>LOW ORDER</v>
      </c>
      <c r="K204" s="26">
        <f>DATA_CLEANING!H204</f>
        <v>1</v>
      </c>
      <c r="L204" t="str">
        <f>DATA_CLEANING!C204</f>
        <v>CUST-307</v>
      </c>
      <c r="U204" s="5">
        <f>VALUE(DATA_CLEANING!J204)*
IF(VALUE(DATA_CLEANING!J204)&gt;=6000,30%,
IF(VALUE(DATA_CLEANING!J204)&gt;=5000,20%,
IF(VALUE(DATA_CLEANING!J204)&gt;=3000,10%,
IF(VALUE(DATA_CLEANING!J204)&gt;=1000,5%,0))))</f>
        <v>0</v>
      </c>
    </row>
    <row r="205" spans="3:21" x14ac:dyDescent="0.25">
      <c r="C205">
        <f>DATA_CLEANING!J206</f>
        <v>2033.1</v>
      </c>
      <c r="D205">
        <f t="shared" si="10"/>
        <v>101.655</v>
      </c>
      <c r="E205">
        <f t="shared" si="10"/>
        <v>203.31</v>
      </c>
      <c r="F205">
        <f t="shared" si="10"/>
        <v>406.62</v>
      </c>
      <c r="G205">
        <f t="shared" si="10"/>
        <v>609.92999999999995</v>
      </c>
      <c r="H205" t="str">
        <f>IF(Table3[[#This Row],[Sales Amount]]&gt;500,"Large Order",  "Standard Order")</f>
        <v>Large Order</v>
      </c>
      <c r="I205" t="str">
        <f>IF(AND(Table3[[#This Row],[Sales Amount]]&gt;750,DATA_CLEANING!H206&gt;5), "GREAT ORDER", "LOW ORDER")</f>
        <v>LOW ORDER</v>
      </c>
      <c r="K205" s="26">
        <f>DATA_CLEANING!H205</f>
        <v>4</v>
      </c>
      <c r="L205" t="str">
        <f>DATA_CLEANING!C205</f>
        <v>CUST-308</v>
      </c>
      <c r="U205" s="5">
        <f>VALUE(DATA_CLEANING!J205)*
IF(VALUE(DATA_CLEANING!J205)&gt;=6000,30%,
IF(VALUE(DATA_CLEANING!J205)&gt;=5000,20%,
IF(VALUE(DATA_CLEANING!J205)&gt;=3000,10%,
IF(VALUE(DATA_CLEANING!J205)&gt;=1000,5%,0))))</f>
        <v>72.17</v>
      </c>
    </row>
    <row r="206" spans="3:21" x14ac:dyDescent="0.25">
      <c r="C206">
        <f>DATA_CLEANING!J207</f>
        <v>1916.12</v>
      </c>
      <c r="D206">
        <f t="shared" si="10"/>
        <v>95.805999999999997</v>
      </c>
      <c r="E206">
        <f t="shared" si="10"/>
        <v>191.61199999999999</v>
      </c>
      <c r="F206">
        <f t="shared" si="10"/>
        <v>383.22399999999999</v>
      </c>
      <c r="G206">
        <f t="shared" si="10"/>
        <v>574.8359999999999</v>
      </c>
      <c r="H206" t="str">
        <f>IF(Table3[[#This Row],[Sales Amount]]&gt;500,"Large Order",  "Standard Order")</f>
        <v>Large Order</v>
      </c>
      <c r="I206" t="str">
        <f>IF(AND(Table3[[#This Row],[Sales Amount]]&gt;750,DATA_CLEANING!H207&gt;5), "GREAT ORDER", "LOW ORDER")</f>
        <v>LOW ORDER</v>
      </c>
      <c r="K206" s="26">
        <f>DATA_CLEANING!H206</f>
        <v>5</v>
      </c>
      <c r="L206" t="str">
        <f>DATA_CLEANING!C206</f>
        <v>CUST-309</v>
      </c>
      <c r="U206" s="5">
        <f>VALUE(DATA_CLEANING!J206)*
IF(VALUE(DATA_CLEANING!J206)&gt;=6000,30%,
IF(VALUE(DATA_CLEANING!J206)&gt;=5000,20%,
IF(VALUE(DATA_CLEANING!J206)&gt;=3000,10%,
IF(VALUE(DATA_CLEANING!J206)&gt;=1000,5%,0))))</f>
        <v>101.655</v>
      </c>
    </row>
    <row r="207" spans="3:21" x14ac:dyDescent="0.25">
      <c r="C207">
        <f>DATA_CLEANING!J208</f>
        <v>423108.0199999999</v>
      </c>
      <c r="D207">
        <f t="shared" si="10"/>
        <v>21155.400999999998</v>
      </c>
      <c r="E207">
        <f t="shared" si="10"/>
        <v>42310.801999999996</v>
      </c>
      <c r="F207">
        <f t="shared" si="10"/>
        <v>84621.603999999992</v>
      </c>
      <c r="G207">
        <f t="shared" si="10"/>
        <v>126932.40599999996</v>
      </c>
      <c r="H207" t="str">
        <f>IF(Table3[[#This Row],[Sales Amount]]&gt;500,"Large Order",  "Standard Order")</f>
        <v>Large Order</v>
      </c>
      <c r="I207" t="str">
        <f>IF(AND(Table3[[#This Row],[Sales Amount]]&gt;750,DATA_CLEANING!H208&gt;5), "GREAT ORDER", "LOW ORDER")</f>
        <v>GREAT ORDER</v>
      </c>
      <c r="K207" s="26">
        <f>DATA_CLEANING!H207</f>
        <v>4</v>
      </c>
      <c r="L207" t="str">
        <f>DATA_CLEANING!C207</f>
        <v>CUST-310</v>
      </c>
      <c r="U207" s="5">
        <f>VALUE(DATA_CLEANING!J207)*
IF(VALUE(DATA_CLEANING!J207)&gt;=6000,30%,
IF(VALUE(DATA_CLEANING!J207)&gt;=5000,20%,
IF(VALUE(DATA_CLEANING!J207)&gt;=3000,10%,
IF(VALUE(DATA_CLEANING!J207)&gt;=1000,5%,0))))</f>
        <v>95.805999999999997</v>
      </c>
    </row>
    <row r="208" spans="3:21" x14ac:dyDescent="0.25">
      <c r="L208">
        <f>DATA_CLEANING!C208</f>
        <v>0</v>
      </c>
    </row>
    <row r="209" spans="12:12" x14ac:dyDescent="0.25">
      <c r="L209">
        <f>DATA_CLEANING!C209</f>
        <v>0</v>
      </c>
    </row>
    <row r="210" spans="12:12" x14ac:dyDescent="0.25">
      <c r="L210">
        <f>DATA_CLEANING!C210</f>
        <v>0</v>
      </c>
    </row>
    <row r="211" spans="12:12" x14ac:dyDescent="0.25">
      <c r="L211">
        <f>DATA_CLEANING!C211</f>
        <v>0</v>
      </c>
    </row>
    <row r="212" spans="12:12" x14ac:dyDescent="0.25">
      <c r="L212">
        <f>DATA_CLEANING!C212</f>
        <v>0</v>
      </c>
    </row>
  </sheetData>
  <conditionalFormatting sqref="C1:C1048576">
    <cfRule type="aboveAverage" dxfId="9" priority="5" aboveAverage="0"/>
    <cfRule type="aboveAverage" dxfId="8" priority="6"/>
  </conditionalFormatting>
  <conditionalFormatting sqref="K1:K1048576">
    <cfRule type="colorScale" priority="2">
      <colorScale>
        <cfvo type="min"/>
        <cfvo type="num" val="0"/>
        <cfvo type="max"/>
        <color rgb="FFF8696B"/>
        <color rgb="FFFFEB84"/>
        <color rgb="FF63BE7B"/>
      </colorScale>
    </cfRule>
    <cfRule type="dataBar" priority="3">
      <dataBar>
        <cfvo type="min"/>
        <cfvo type="max"/>
        <color rgb="FF008AEF"/>
      </dataBar>
      <extLst>
        <ext xmlns:x14="http://schemas.microsoft.com/office/spreadsheetml/2009/9/main" uri="{B025F937-C7B1-47D3-B67F-A62EFF666E3E}">
          <x14:id>{203EDA49-E79B-4A11-ABAC-BABF7DC2728B}</x14:id>
        </ext>
      </extLst>
    </cfRule>
  </conditionalFormatting>
  <conditionalFormatting sqref="L1:L1048576">
    <cfRule type="duplicateValues" dxfId="7" priority="1"/>
  </conditionalFormatting>
  <pageMargins left="0.7" right="0.7" top="0.75" bottom="0.75" header="0.3" footer="0.3"/>
  <tableParts count="2">
    <tablePart r:id="rId1"/>
    <tablePart r:id="rId2"/>
  </tableParts>
  <extLst>
    <ext xmlns:x14="http://schemas.microsoft.com/office/spreadsheetml/2009/9/main" uri="{78C0D931-6437-407d-A8EE-F0AAD7539E65}">
      <x14:conditionalFormattings>
        <x14:conditionalFormatting xmlns:xm="http://schemas.microsoft.com/office/excel/2006/main">
          <x14:cfRule type="dataBar" id="{203EDA49-E79B-4A11-ABAC-BABF7DC2728B}">
            <x14:dataBar minLength="0" maxLength="100" gradient="0">
              <x14:cfvo type="autoMin"/>
              <x14:cfvo type="autoMax"/>
              <x14:negativeFillColor rgb="FFFF0000"/>
              <x14:axisColor rgb="FF000000"/>
            </x14:dataBar>
          </x14:cfRule>
          <xm:sqref>K1:K1048576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6"/>
  <sheetViews>
    <sheetView workbookViewId="0">
      <selection activeCell="C1" sqref="C1"/>
    </sheetView>
  </sheetViews>
  <sheetFormatPr defaultRowHeight="15" x14ac:dyDescent="0.25"/>
  <cols>
    <col min="1" max="1" width="14.85546875" bestFit="1" customWidth="1"/>
    <col min="2" max="2" width="12.140625" bestFit="1" customWidth="1"/>
  </cols>
  <sheetData>
    <row r="1" spans="1:2" x14ac:dyDescent="0.25">
      <c r="A1" s="1" t="s">
        <v>6</v>
      </c>
      <c r="B1" s="1" t="s">
        <v>304</v>
      </c>
    </row>
    <row r="2" spans="1:2" x14ac:dyDescent="0.25">
      <c r="A2" t="s">
        <v>98</v>
      </c>
      <c r="B2">
        <v>230.68</v>
      </c>
    </row>
    <row r="3" spans="1:2" x14ac:dyDescent="0.25">
      <c r="A3" t="s">
        <v>81</v>
      </c>
      <c r="B3">
        <v>216.22</v>
      </c>
    </row>
    <row r="4" spans="1:2" x14ac:dyDescent="0.25">
      <c r="A4" t="s">
        <v>15</v>
      </c>
      <c r="B4">
        <v>146.06</v>
      </c>
    </row>
    <row r="5" spans="1:2" x14ac:dyDescent="0.25">
      <c r="A5" t="s">
        <v>104</v>
      </c>
      <c r="B5">
        <v>145.47999999999999</v>
      </c>
    </row>
    <row r="6" spans="1:2" x14ac:dyDescent="0.25">
      <c r="A6" t="s">
        <v>20</v>
      </c>
      <c r="B6">
        <v>178.83</v>
      </c>
    </row>
    <row r="7" spans="1:2" x14ac:dyDescent="0.25">
      <c r="A7" t="s">
        <v>47</v>
      </c>
      <c r="B7">
        <v>107.34</v>
      </c>
    </row>
    <row r="8" spans="1:2" x14ac:dyDescent="0.25">
      <c r="A8" t="s">
        <v>68</v>
      </c>
      <c r="B8">
        <v>33.22</v>
      </c>
    </row>
    <row r="9" spans="1:2" x14ac:dyDescent="0.25">
      <c r="A9" t="s">
        <v>199</v>
      </c>
      <c r="B9">
        <v>10.11</v>
      </c>
    </row>
    <row r="10" spans="1:2" x14ac:dyDescent="0.25">
      <c r="A10" t="s">
        <v>30</v>
      </c>
      <c r="B10">
        <v>84.57</v>
      </c>
    </row>
    <row r="11" spans="1:2" x14ac:dyDescent="0.25">
      <c r="A11" t="s">
        <v>76</v>
      </c>
      <c r="B11">
        <v>201.32</v>
      </c>
    </row>
    <row r="12" spans="1:2" x14ac:dyDescent="0.25">
      <c r="A12" t="s">
        <v>74</v>
      </c>
      <c r="B12">
        <v>156.44</v>
      </c>
    </row>
    <row r="13" spans="1:2" x14ac:dyDescent="0.25">
      <c r="A13" t="s">
        <v>51</v>
      </c>
      <c r="B13">
        <v>208.85</v>
      </c>
    </row>
    <row r="14" spans="1:2" x14ac:dyDescent="0.25">
      <c r="A14" t="s">
        <v>34</v>
      </c>
      <c r="B14">
        <v>230.34</v>
      </c>
    </row>
    <row r="15" spans="1:2" x14ac:dyDescent="0.25">
      <c r="A15" t="s">
        <v>89</v>
      </c>
      <c r="B15">
        <v>26.59</v>
      </c>
    </row>
    <row r="16" spans="1:2" x14ac:dyDescent="0.25">
      <c r="A16" t="s">
        <v>72</v>
      </c>
      <c r="B16">
        <v>211.9</v>
      </c>
    </row>
    <row r="17" spans="1:2" x14ac:dyDescent="0.25">
      <c r="A17" t="s">
        <v>38</v>
      </c>
      <c r="B17">
        <v>64.61</v>
      </c>
    </row>
    <row r="18" spans="1:2" x14ac:dyDescent="0.25">
      <c r="A18" t="s">
        <v>162</v>
      </c>
      <c r="B18">
        <v>149.27000000000001</v>
      </c>
    </row>
    <row r="19" spans="1:2" x14ac:dyDescent="0.25">
      <c r="A19" t="s">
        <v>176</v>
      </c>
      <c r="B19">
        <v>133.37</v>
      </c>
    </row>
    <row r="20" spans="1:2" x14ac:dyDescent="0.25">
      <c r="A20" t="s">
        <v>61</v>
      </c>
      <c r="B20">
        <v>101.96</v>
      </c>
    </row>
    <row r="21" spans="1:2" x14ac:dyDescent="0.25">
      <c r="A21" t="s">
        <v>111</v>
      </c>
      <c r="B21">
        <v>81.02</v>
      </c>
    </row>
    <row r="22" spans="1:2" x14ac:dyDescent="0.25">
      <c r="A22" t="s">
        <v>25</v>
      </c>
      <c r="B22">
        <v>88.18</v>
      </c>
    </row>
    <row r="23" spans="1:2" x14ac:dyDescent="0.25">
      <c r="A23" t="s">
        <v>44</v>
      </c>
      <c r="B23">
        <v>86.6</v>
      </c>
    </row>
    <row r="24" spans="1:2" x14ac:dyDescent="0.25">
      <c r="A24" t="s">
        <v>64</v>
      </c>
      <c r="B24">
        <v>46.19</v>
      </c>
    </row>
    <row r="25" spans="1:2" x14ac:dyDescent="0.25">
      <c r="A25" t="s">
        <v>86</v>
      </c>
      <c r="B25">
        <v>130.07</v>
      </c>
    </row>
    <row r="26" spans="1:2" x14ac:dyDescent="0.25">
      <c r="A26" t="s">
        <v>121</v>
      </c>
      <c r="B26">
        <v>32.94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58DB7-6FC3-4395-AEBA-838C529DC20B}">
  <dimension ref="A1:B207"/>
  <sheetViews>
    <sheetView workbookViewId="0">
      <pane ySplit="2" topLeftCell="A3" activePane="bottomLeft" state="frozen"/>
      <selection pane="bottomLeft" activeCell="D7" sqref="D7"/>
    </sheetView>
  </sheetViews>
  <sheetFormatPr defaultRowHeight="15" x14ac:dyDescent="0.25"/>
  <cols>
    <col min="1" max="1" width="17.28515625" bestFit="1" customWidth="1"/>
    <col min="2" max="2" width="15.85546875" bestFit="1" customWidth="1"/>
  </cols>
  <sheetData>
    <row r="1" spans="1:2" s="8" customFormat="1" ht="15.75" x14ac:dyDescent="0.25">
      <c r="A1" s="27" t="s">
        <v>670</v>
      </c>
      <c r="B1" s="27" t="s">
        <v>671</v>
      </c>
    </row>
    <row r="2" spans="1:2" s="8" customFormat="1" ht="15.75" x14ac:dyDescent="0.25">
      <c r="A2" s="27" t="s">
        <v>695</v>
      </c>
      <c r="B2" s="8" t="s">
        <v>696</v>
      </c>
    </row>
    <row r="3" spans="1:2" x14ac:dyDescent="0.25">
      <c r="A3" t="str">
        <f>DATA_CLEANING!E3</f>
        <v>North</v>
      </c>
      <c r="B3">
        <v>567</v>
      </c>
    </row>
    <row r="4" spans="1:2" x14ac:dyDescent="0.25">
      <c r="A4" t="str">
        <f>DATA_CLEANING!E4</f>
        <v>Central</v>
      </c>
      <c r="B4">
        <v>432</v>
      </c>
    </row>
    <row r="5" spans="1:2" x14ac:dyDescent="0.25">
      <c r="A5" t="str">
        <f>DATA_CLEANING!E5</f>
        <v>Central</v>
      </c>
      <c r="B5">
        <v>100</v>
      </c>
    </row>
    <row r="6" spans="1:2" x14ac:dyDescent="0.25">
      <c r="A6" t="str">
        <f>DATA_CLEANING!E6</f>
        <v>West</v>
      </c>
      <c r="B6">
        <v>390</v>
      </c>
    </row>
    <row r="7" spans="1:2" x14ac:dyDescent="0.25">
      <c r="A7" t="str">
        <f>DATA_CLEANING!E7</f>
        <v>West</v>
      </c>
      <c r="B7">
        <v>10000</v>
      </c>
    </row>
    <row r="8" spans="1:2" x14ac:dyDescent="0.25">
      <c r="A8" t="str">
        <f>DATA_CLEANING!E8</f>
        <v>North</v>
      </c>
    </row>
    <row r="9" spans="1:2" x14ac:dyDescent="0.25">
      <c r="A9" t="str">
        <f>DATA_CLEANING!E9</f>
        <v>West</v>
      </c>
    </row>
    <row r="10" spans="1:2" x14ac:dyDescent="0.25">
      <c r="A10" t="str">
        <f>DATA_CLEANING!E10</f>
        <v>East</v>
      </c>
    </row>
    <row r="11" spans="1:2" x14ac:dyDescent="0.25">
      <c r="A11" t="str">
        <f>DATA_CLEANING!E11</f>
        <v>North</v>
      </c>
    </row>
    <row r="12" spans="1:2" x14ac:dyDescent="0.25">
      <c r="A12" t="str">
        <f>DATA_CLEANING!E12</f>
        <v>East</v>
      </c>
    </row>
    <row r="13" spans="1:2" x14ac:dyDescent="0.25">
      <c r="A13" t="str">
        <f>DATA_CLEANING!E13</f>
        <v>North</v>
      </c>
    </row>
    <row r="14" spans="1:2" x14ac:dyDescent="0.25">
      <c r="A14" t="str">
        <f>DATA_CLEANING!E14</f>
        <v>East</v>
      </c>
    </row>
    <row r="15" spans="1:2" x14ac:dyDescent="0.25">
      <c r="A15" t="str">
        <f>DATA_CLEANING!E15</f>
        <v>South</v>
      </c>
    </row>
    <row r="16" spans="1:2" x14ac:dyDescent="0.25">
      <c r="A16" t="str">
        <f>DATA_CLEANING!E16</f>
        <v>South</v>
      </c>
    </row>
    <row r="17" spans="1:1" x14ac:dyDescent="0.25">
      <c r="A17" t="str">
        <f>DATA_CLEANING!E17</f>
        <v>Central</v>
      </c>
    </row>
    <row r="18" spans="1:1" x14ac:dyDescent="0.25">
      <c r="A18" t="str">
        <f>DATA_CLEANING!E18</f>
        <v>East</v>
      </c>
    </row>
    <row r="19" spans="1:1" x14ac:dyDescent="0.25">
      <c r="A19" t="str">
        <f>DATA_CLEANING!E19</f>
        <v>South</v>
      </c>
    </row>
    <row r="20" spans="1:1" x14ac:dyDescent="0.25">
      <c r="A20" t="str">
        <f>DATA_CLEANING!E20</f>
        <v>Central</v>
      </c>
    </row>
    <row r="21" spans="1:1" x14ac:dyDescent="0.25">
      <c r="A21" t="str">
        <f>DATA_CLEANING!E21</f>
        <v>East</v>
      </c>
    </row>
    <row r="22" spans="1:1" x14ac:dyDescent="0.25">
      <c r="A22" t="str">
        <f>DATA_CLEANING!E22</f>
        <v>Central</v>
      </c>
    </row>
    <row r="23" spans="1:1" x14ac:dyDescent="0.25">
      <c r="A23" t="str">
        <f>DATA_CLEANING!E23</f>
        <v>Central</v>
      </c>
    </row>
    <row r="24" spans="1:1" x14ac:dyDescent="0.25">
      <c r="A24" t="str">
        <f>DATA_CLEANING!E24</f>
        <v>North</v>
      </c>
    </row>
    <row r="25" spans="1:1" x14ac:dyDescent="0.25">
      <c r="A25" t="str">
        <f>DATA_CLEANING!E25</f>
        <v>South</v>
      </c>
    </row>
    <row r="26" spans="1:1" x14ac:dyDescent="0.25">
      <c r="A26" t="str">
        <f>DATA_CLEANING!E26</f>
        <v>Central</v>
      </c>
    </row>
    <row r="27" spans="1:1" x14ac:dyDescent="0.25">
      <c r="A27" t="str">
        <f>DATA_CLEANING!E27</f>
        <v>Central</v>
      </c>
    </row>
    <row r="28" spans="1:1" x14ac:dyDescent="0.25">
      <c r="A28" t="str">
        <f>DATA_CLEANING!E28</f>
        <v>South</v>
      </c>
    </row>
    <row r="29" spans="1:1" x14ac:dyDescent="0.25">
      <c r="A29" t="str">
        <f>DATA_CLEANING!E29</f>
        <v>North</v>
      </c>
    </row>
    <row r="30" spans="1:1" x14ac:dyDescent="0.25">
      <c r="A30" t="str">
        <f>DATA_CLEANING!E30</f>
        <v>Central</v>
      </c>
    </row>
    <row r="31" spans="1:1" x14ac:dyDescent="0.25">
      <c r="A31" t="str">
        <f>DATA_CLEANING!E31</f>
        <v>North</v>
      </c>
    </row>
    <row r="32" spans="1:1" x14ac:dyDescent="0.25">
      <c r="A32" t="str">
        <f>DATA_CLEANING!E32</f>
        <v>Central</v>
      </c>
    </row>
    <row r="33" spans="1:1" x14ac:dyDescent="0.25">
      <c r="A33" t="str">
        <f>DATA_CLEANING!E33</f>
        <v>South</v>
      </c>
    </row>
    <row r="34" spans="1:1" x14ac:dyDescent="0.25">
      <c r="A34" t="str">
        <f>DATA_CLEANING!E34</f>
        <v>North</v>
      </c>
    </row>
    <row r="35" spans="1:1" x14ac:dyDescent="0.25">
      <c r="A35" t="str">
        <f>DATA_CLEANING!E35</f>
        <v>South</v>
      </c>
    </row>
    <row r="36" spans="1:1" x14ac:dyDescent="0.25">
      <c r="A36" t="str">
        <f>DATA_CLEANING!E36</f>
        <v>South</v>
      </c>
    </row>
    <row r="37" spans="1:1" x14ac:dyDescent="0.25">
      <c r="A37" t="str">
        <f>DATA_CLEANING!E37</f>
        <v>North</v>
      </c>
    </row>
    <row r="38" spans="1:1" x14ac:dyDescent="0.25">
      <c r="A38" t="str">
        <f>DATA_CLEANING!E38</f>
        <v>South</v>
      </c>
    </row>
    <row r="39" spans="1:1" x14ac:dyDescent="0.25">
      <c r="A39" t="str">
        <f>DATA_CLEANING!E39</f>
        <v>East</v>
      </c>
    </row>
    <row r="40" spans="1:1" x14ac:dyDescent="0.25">
      <c r="A40" t="str">
        <f>DATA_CLEANING!E40</f>
        <v>South</v>
      </c>
    </row>
    <row r="41" spans="1:1" x14ac:dyDescent="0.25">
      <c r="A41" t="str">
        <f>DATA_CLEANING!E41</f>
        <v>North</v>
      </c>
    </row>
    <row r="42" spans="1:1" x14ac:dyDescent="0.25">
      <c r="A42" t="str">
        <f>DATA_CLEANING!E42</f>
        <v>Central</v>
      </c>
    </row>
    <row r="43" spans="1:1" x14ac:dyDescent="0.25">
      <c r="A43" t="str">
        <f>DATA_CLEANING!E43</f>
        <v>North</v>
      </c>
    </row>
    <row r="44" spans="1:1" x14ac:dyDescent="0.25">
      <c r="A44" t="str">
        <f>DATA_CLEANING!E44</f>
        <v>Central</v>
      </c>
    </row>
    <row r="45" spans="1:1" x14ac:dyDescent="0.25">
      <c r="A45" t="str">
        <f>DATA_CLEANING!E45</f>
        <v>South</v>
      </c>
    </row>
    <row r="46" spans="1:1" x14ac:dyDescent="0.25">
      <c r="A46" t="str">
        <f>DATA_CLEANING!E46</f>
        <v>North</v>
      </c>
    </row>
    <row r="47" spans="1:1" x14ac:dyDescent="0.25">
      <c r="A47" t="str">
        <f>DATA_CLEANING!E47</f>
        <v>South</v>
      </c>
    </row>
    <row r="48" spans="1:1" x14ac:dyDescent="0.25">
      <c r="A48" t="str">
        <f>DATA_CLEANING!E48</f>
        <v>East</v>
      </c>
    </row>
    <row r="49" spans="1:1" x14ac:dyDescent="0.25">
      <c r="A49" t="str">
        <f>DATA_CLEANING!E49</f>
        <v>Central</v>
      </c>
    </row>
    <row r="50" spans="1:1" x14ac:dyDescent="0.25">
      <c r="A50" t="str">
        <f>DATA_CLEANING!E50</f>
        <v>North</v>
      </c>
    </row>
    <row r="51" spans="1:1" x14ac:dyDescent="0.25">
      <c r="A51" t="str">
        <f>DATA_CLEANING!E51</f>
        <v>South</v>
      </c>
    </row>
    <row r="52" spans="1:1" x14ac:dyDescent="0.25">
      <c r="A52" t="str">
        <f>DATA_CLEANING!E52</f>
        <v>West</v>
      </c>
    </row>
    <row r="53" spans="1:1" x14ac:dyDescent="0.25">
      <c r="A53" t="str">
        <f>DATA_CLEANING!E53</f>
        <v>South</v>
      </c>
    </row>
    <row r="54" spans="1:1" x14ac:dyDescent="0.25">
      <c r="A54" t="str">
        <f>DATA_CLEANING!E54</f>
        <v>South</v>
      </c>
    </row>
    <row r="55" spans="1:1" x14ac:dyDescent="0.25">
      <c r="A55" t="str">
        <f>DATA_CLEANING!E55</f>
        <v>North</v>
      </c>
    </row>
    <row r="56" spans="1:1" x14ac:dyDescent="0.25">
      <c r="A56" t="str">
        <f>DATA_CLEANING!E56</f>
        <v>North</v>
      </c>
    </row>
    <row r="57" spans="1:1" x14ac:dyDescent="0.25">
      <c r="A57" t="str">
        <f>DATA_CLEANING!E57</f>
        <v>South</v>
      </c>
    </row>
    <row r="58" spans="1:1" x14ac:dyDescent="0.25">
      <c r="A58" t="str">
        <f>DATA_CLEANING!E58</f>
        <v>South</v>
      </c>
    </row>
    <row r="59" spans="1:1" x14ac:dyDescent="0.25">
      <c r="A59" t="str">
        <f>DATA_CLEANING!E59</f>
        <v>South</v>
      </c>
    </row>
    <row r="60" spans="1:1" x14ac:dyDescent="0.25">
      <c r="A60" t="str">
        <f>DATA_CLEANING!E60</f>
        <v>North</v>
      </c>
    </row>
    <row r="61" spans="1:1" x14ac:dyDescent="0.25">
      <c r="A61" t="str">
        <f>DATA_CLEANING!E61</f>
        <v>East</v>
      </c>
    </row>
    <row r="62" spans="1:1" x14ac:dyDescent="0.25">
      <c r="A62" t="str">
        <f>DATA_CLEANING!E62</f>
        <v>East</v>
      </c>
    </row>
    <row r="63" spans="1:1" x14ac:dyDescent="0.25">
      <c r="A63" t="str">
        <f>DATA_CLEANING!E63</f>
        <v>East</v>
      </c>
    </row>
    <row r="64" spans="1:1" x14ac:dyDescent="0.25">
      <c r="A64" t="str">
        <f>DATA_CLEANING!E64</f>
        <v>East</v>
      </c>
    </row>
    <row r="65" spans="1:1" x14ac:dyDescent="0.25">
      <c r="A65" t="str">
        <f>DATA_CLEANING!E65</f>
        <v>South</v>
      </c>
    </row>
    <row r="66" spans="1:1" x14ac:dyDescent="0.25">
      <c r="A66" t="str">
        <f>DATA_CLEANING!E66</f>
        <v>North</v>
      </c>
    </row>
    <row r="67" spans="1:1" x14ac:dyDescent="0.25">
      <c r="A67" t="str">
        <f>DATA_CLEANING!E67</f>
        <v>East</v>
      </c>
    </row>
    <row r="68" spans="1:1" x14ac:dyDescent="0.25">
      <c r="A68" t="str">
        <f>DATA_CLEANING!E68</f>
        <v>South</v>
      </c>
    </row>
    <row r="69" spans="1:1" x14ac:dyDescent="0.25">
      <c r="A69" t="str">
        <f>DATA_CLEANING!E69</f>
        <v>East</v>
      </c>
    </row>
    <row r="70" spans="1:1" x14ac:dyDescent="0.25">
      <c r="A70" t="str">
        <f>DATA_CLEANING!E70</f>
        <v>West</v>
      </c>
    </row>
    <row r="71" spans="1:1" x14ac:dyDescent="0.25">
      <c r="A71" t="str">
        <f>DATA_CLEANING!E71</f>
        <v>North</v>
      </c>
    </row>
    <row r="72" spans="1:1" x14ac:dyDescent="0.25">
      <c r="A72" t="str">
        <f>DATA_CLEANING!E72</f>
        <v>East</v>
      </c>
    </row>
    <row r="73" spans="1:1" x14ac:dyDescent="0.25">
      <c r="A73" t="str">
        <f>DATA_CLEANING!E73</f>
        <v>North</v>
      </c>
    </row>
    <row r="74" spans="1:1" x14ac:dyDescent="0.25">
      <c r="A74" t="str">
        <f>DATA_CLEANING!E74</f>
        <v>West</v>
      </c>
    </row>
    <row r="75" spans="1:1" x14ac:dyDescent="0.25">
      <c r="A75" t="str">
        <f>DATA_CLEANING!E75</f>
        <v>West</v>
      </c>
    </row>
    <row r="76" spans="1:1" x14ac:dyDescent="0.25">
      <c r="A76" t="str">
        <f>DATA_CLEANING!E76</f>
        <v>North</v>
      </c>
    </row>
    <row r="77" spans="1:1" x14ac:dyDescent="0.25">
      <c r="A77" t="str">
        <f>DATA_CLEANING!E77</f>
        <v>East</v>
      </c>
    </row>
    <row r="78" spans="1:1" x14ac:dyDescent="0.25">
      <c r="A78" t="str">
        <f>DATA_CLEANING!E78</f>
        <v>South</v>
      </c>
    </row>
    <row r="79" spans="1:1" x14ac:dyDescent="0.25">
      <c r="A79" t="str">
        <f>DATA_CLEANING!E79</f>
        <v>Central</v>
      </c>
    </row>
    <row r="80" spans="1:1" x14ac:dyDescent="0.25">
      <c r="A80" t="str">
        <f>DATA_CLEANING!E80</f>
        <v>East</v>
      </c>
    </row>
    <row r="81" spans="1:1" x14ac:dyDescent="0.25">
      <c r="A81" t="str">
        <f>DATA_CLEANING!E81</f>
        <v>South</v>
      </c>
    </row>
    <row r="82" spans="1:1" x14ac:dyDescent="0.25">
      <c r="A82" t="str">
        <f>DATA_CLEANING!E82</f>
        <v>North</v>
      </c>
    </row>
    <row r="83" spans="1:1" x14ac:dyDescent="0.25">
      <c r="A83" t="str">
        <f>DATA_CLEANING!E83</f>
        <v>Central</v>
      </c>
    </row>
    <row r="84" spans="1:1" x14ac:dyDescent="0.25">
      <c r="A84" t="str">
        <f>DATA_CLEANING!E84</f>
        <v>Central</v>
      </c>
    </row>
    <row r="85" spans="1:1" x14ac:dyDescent="0.25">
      <c r="A85" t="str">
        <f>DATA_CLEANING!E85</f>
        <v>North</v>
      </c>
    </row>
    <row r="86" spans="1:1" x14ac:dyDescent="0.25">
      <c r="A86" t="str">
        <f>DATA_CLEANING!E86</f>
        <v>West</v>
      </c>
    </row>
    <row r="87" spans="1:1" x14ac:dyDescent="0.25">
      <c r="A87" t="str">
        <f>DATA_CLEANING!E87</f>
        <v>North</v>
      </c>
    </row>
    <row r="88" spans="1:1" x14ac:dyDescent="0.25">
      <c r="A88" t="str">
        <f>DATA_CLEANING!E88</f>
        <v>West</v>
      </c>
    </row>
    <row r="89" spans="1:1" x14ac:dyDescent="0.25">
      <c r="A89" t="str">
        <f>DATA_CLEANING!E89</f>
        <v>West</v>
      </c>
    </row>
    <row r="90" spans="1:1" x14ac:dyDescent="0.25">
      <c r="A90" t="str">
        <f>DATA_CLEANING!E90</f>
        <v>South</v>
      </c>
    </row>
    <row r="91" spans="1:1" x14ac:dyDescent="0.25">
      <c r="A91" t="str">
        <f>DATA_CLEANING!E91</f>
        <v>South</v>
      </c>
    </row>
    <row r="92" spans="1:1" x14ac:dyDescent="0.25">
      <c r="A92" t="str">
        <f>DATA_CLEANING!E92</f>
        <v>East</v>
      </c>
    </row>
    <row r="93" spans="1:1" x14ac:dyDescent="0.25">
      <c r="A93" t="str">
        <f>DATA_CLEANING!E93</f>
        <v>South</v>
      </c>
    </row>
    <row r="94" spans="1:1" x14ac:dyDescent="0.25">
      <c r="A94" t="str">
        <f>DATA_CLEANING!E94</f>
        <v>West</v>
      </c>
    </row>
    <row r="95" spans="1:1" x14ac:dyDescent="0.25">
      <c r="A95" t="str">
        <f>DATA_CLEANING!E95</f>
        <v>North</v>
      </c>
    </row>
    <row r="96" spans="1:1" x14ac:dyDescent="0.25">
      <c r="A96" t="str">
        <f>DATA_CLEANING!E96</f>
        <v>East</v>
      </c>
    </row>
    <row r="97" spans="1:1" x14ac:dyDescent="0.25">
      <c r="A97" t="str">
        <f>DATA_CLEANING!E97</f>
        <v>North</v>
      </c>
    </row>
    <row r="98" spans="1:1" x14ac:dyDescent="0.25">
      <c r="A98" t="str">
        <f>DATA_CLEANING!E98</f>
        <v>South</v>
      </c>
    </row>
    <row r="99" spans="1:1" x14ac:dyDescent="0.25">
      <c r="A99" t="str">
        <f>DATA_CLEANING!E99</f>
        <v>Central</v>
      </c>
    </row>
    <row r="100" spans="1:1" x14ac:dyDescent="0.25">
      <c r="A100" t="str">
        <f>DATA_CLEANING!E100</f>
        <v>South</v>
      </c>
    </row>
    <row r="101" spans="1:1" x14ac:dyDescent="0.25">
      <c r="A101" t="str">
        <f>DATA_CLEANING!E101</f>
        <v>West</v>
      </c>
    </row>
    <row r="102" spans="1:1" x14ac:dyDescent="0.25">
      <c r="A102" t="str">
        <f>DATA_CLEANING!E102</f>
        <v>East</v>
      </c>
    </row>
    <row r="103" spans="1:1" x14ac:dyDescent="0.25">
      <c r="A103" t="str">
        <f>DATA_CLEANING!E103</f>
        <v>North</v>
      </c>
    </row>
    <row r="104" spans="1:1" x14ac:dyDescent="0.25">
      <c r="A104" t="str">
        <f>DATA_CLEANING!E104</f>
        <v>South</v>
      </c>
    </row>
    <row r="105" spans="1:1" x14ac:dyDescent="0.25">
      <c r="A105" t="str">
        <f>DATA_CLEANING!E105</f>
        <v>West</v>
      </c>
    </row>
    <row r="106" spans="1:1" x14ac:dyDescent="0.25">
      <c r="A106" t="str">
        <f>DATA_CLEANING!E106</f>
        <v>East</v>
      </c>
    </row>
    <row r="107" spans="1:1" x14ac:dyDescent="0.25">
      <c r="A107" t="str">
        <f>DATA_CLEANING!E107</f>
        <v>East</v>
      </c>
    </row>
    <row r="108" spans="1:1" x14ac:dyDescent="0.25">
      <c r="A108" t="str">
        <f>DATA_CLEANING!E108</f>
        <v>South</v>
      </c>
    </row>
    <row r="109" spans="1:1" x14ac:dyDescent="0.25">
      <c r="A109" t="str">
        <f>DATA_CLEANING!E109</f>
        <v>Central</v>
      </c>
    </row>
    <row r="110" spans="1:1" x14ac:dyDescent="0.25">
      <c r="A110" t="str">
        <f>DATA_CLEANING!E110</f>
        <v>North</v>
      </c>
    </row>
    <row r="111" spans="1:1" x14ac:dyDescent="0.25">
      <c r="A111" t="str">
        <f>DATA_CLEANING!E111</f>
        <v>South</v>
      </c>
    </row>
    <row r="112" spans="1:1" x14ac:dyDescent="0.25">
      <c r="A112" t="str">
        <f>DATA_CLEANING!E112</f>
        <v>East</v>
      </c>
    </row>
    <row r="113" spans="1:1" x14ac:dyDescent="0.25">
      <c r="A113" t="str">
        <f>DATA_CLEANING!E113</f>
        <v>West</v>
      </c>
    </row>
    <row r="114" spans="1:1" x14ac:dyDescent="0.25">
      <c r="A114" t="str">
        <f>DATA_CLEANING!E114</f>
        <v>East</v>
      </c>
    </row>
    <row r="115" spans="1:1" x14ac:dyDescent="0.25">
      <c r="A115" t="str">
        <f>DATA_CLEANING!E115</f>
        <v>Central</v>
      </c>
    </row>
    <row r="116" spans="1:1" x14ac:dyDescent="0.25">
      <c r="A116" t="str">
        <f>DATA_CLEANING!E116</f>
        <v>West</v>
      </c>
    </row>
    <row r="117" spans="1:1" x14ac:dyDescent="0.25">
      <c r="A117" t="str">
        <f>DATA_CLEANING!E117</f>
        <v>South</v>
      </c>
    </row>
    <row r="118" spans="1:1" x14ac:dyDescent="0.25">
      <c r="A118" t="str">
        <f>DATA_CLEANING!E118</f>
        <v>North</v>
      </c>
    </row>
    <row r="119" spans="1:1" x14ac:dyDescent="0.25">
      <c r="A119" t="str">
        <f>DATA_CLEANING!E119</f>
        <v>North</v>
      </c>
    </row>
    <row r="120" spans="1:1" x14ac:dyDescent="0.25">
      <c r="A120" t="str">
        <f>DATA_CLEANING!E120</f>
        <v>South</v>
      </c>
    </row>
    <row r="121" spans="1:1" x14ac:dyDescent="0.25">
      <c r="A121" t="str">
        <f>DATA_CLEANING!E121</f>
        <v>Central</v>
      </c>
    </row>
    <row r="122" spans="1:1" x14ac:dyDescent="0.25">
      <c r="A122" t="str">
        <f>DATA_CLEANING!E122</f>
        <v>East</v>
      </c>
    </row>
    <row r="123" spans="1:1" x14ac:dyDescent="0.25">
      <c r="A123" t="str">
        <f>DATA_CLEANING!E123</f>
        <v>West</v>
      </c>
    </row>
    <row r="124" spans="1:1" x14ac:dyDescent="0.25">
      <c r="A124" t="str">
        <f>DATA_CLEANING!E124</f>
        <v>West</v>
      </c>
    </row>
    <row r="125" spans="1:1" x14ac:dyDescent="0.25">
      <c r="A125" t="str">
        <f>DATA_CLEANING!E125</f>
        <v>Central</v>
      </c>
    </row>
    <row r="126" spans="1:1" x14ac:dyDescent="0.25">
      <c r="A126" t="str">
        <f>DATA_CLEANING!E126</f>
        <v>Central</v>
      </c>
    </row>
    <row r="127" spans="1:1" x14ac:dyDescent="0.25">
      <c r="A127" t="str">
        <f>DATA_CLEANING!E127</f>
        <v>West</v>
      </c>
    </row>
    <row r="128" spans="1:1" x14ac:dyDescent="0.25">
      <c r="A128" t="str">
        <f>DATA_CLEANING!E128</f>
        <v>West</v>
      </c>
    </row>
    <row r="129" spans="1:1" x14ac:dyDescent="0.25">
      <c r="A129" t="str">
        <f>DATA_CLEANING!E129</f>
        <v>West</v>
      </c>
    </row>
    <row r="130" spans="1:1" x14ac:dyDescent="0.25">
      <c r="A130" t="str">
        <f>DATA_CLEANING!E130</f>
        <v>Central</v>
      </c>
    </row>
    <row r="131" spans="1:1" x14ac:dyDescent="0.25">
      <c r="A131" t="str">
        <f>DATA_CLEANING!E131</f>
        <v>Central</v>
      </c>
    </row>
    <row r="132" spans="1:1" x14ac:dyDescent="0.25">
      <c r="A132" t="str">
        <f>DATA_CLEANING!E132</f>
        <v>West</v>
      </c>
    </row>
    <row r="133" spans="1:1" x14ac:dyDescent="0.25">
      <c r="A133" t="str">
        <f>DATA_CLEANING!E133</f>
        <v>South</v>
      </c>
    </row>
    <row r="134" spans="1:1" x14ac:dyDescent="0.25">
      <c r="A134" t="str">
        <f>DATA_CLEANING!E134</f>
        <v>West</v>
      </c>
    </row>
    <row r="135" spans="1:1" x14ac:dyDescent="0.25">
      <c r="A135" t="str">
        <f>DATA_CLEANING!E135</f>
        <v>East</v>
      </c>
    </row>
    <row r="136" spans="1:1" x14ac:dyDescent="0.25">
      <c r="A136" t="str">
        <f>DATA_CLEANING!E136</f>
        <v>South</v>
      </c>
    </row>
    <row r="137" spans="1:1" x14ac:dyDescent="0.25">
      <c r="A137" t="str">
        <f>DATA_CLEANING!E137</f>
        <v>West</v>
      </c>
    </row>
    <row r="138" spans="1:1" x14ac:dyDescent="0.25">
      <c r="A138" t="str">
        <f>DATA_CLEANING!E138</f>
        <v>Central</v>
      </c>
    </row>
    <row r="139" spans="1:1" x14ac:dyDescent="0.25">
      <c r="A139" t="str">
        <f>DATA_CLEANING!E139</f>
        <v>Central</v>
      </c>
    </row>
    <row r="140" spans="1:1" x14ac:dyDescent="0.25">
      <c r="A140" t="str">
        <f>DATA_CLEANING!E140</f>
        <v>South</v>
      </c>
    </row>
    <row r="141" spans="1:1" x14ac:dyDescent="0.25">
      <c r="A141" t="str">
        <f>DATA_CLEANING!E141</f>
        <v>West</v>
      </c>
    </row>
    <row r="142" spans="1:1" x14ac:dyDescent="0.25">
      <c r="A142" t="str">
        <f>DATA_CLEANING!E142</f>
        <v>North</v>
      </c>
    </row>
    <row r="143" spans="1:1" x14ac:dyDescent="0.25">
      <c r="A143" t="str">
        <f>DATA_CLEANING!E143</f>
        <v>Central</v>
      </c>
    </row>
    <row r="144" spans="1:1" x14ac:dyDescent="0.25">
      <c r="A144" t="str">
        <f>DATA_CLEANING!E144</f>
        <v>North</v>
      </c>
    </row>
    <row r="145" spans="1:1" x14ac:dyDescent="0.25">
      <c r="A145" t="str">
        <f>DATA_CLEANING!E145</f>
        <v>East</v>
      </c>
    </row>
    <row r="146" spans="1:1" x14ac:dyDescent="0.25">
      <c r="A146" t="str">
        <f>DATA_CLEANING!E146</f>
        <v>Central</v>
      </c>
    </row>
    <row r="147" spans="1:1" x14ac:dyDescent="0.25">
      <c r="A147" t="str">
        <f>DATA_CLEANING!E147</f>
        <v>North</v>
      </c>
    </row>
    <row r="148" spans="1:1" x14ac:dyDescent="0.25">
      <c r="A148" t="str">
        <f>DATA_CLEANING!E148</f>
        <v>East</v>
      </c>
    </row>
    <row r="149" spans="1:1" x14ac:dyDescent="0.25">
      <c r="A149" t="str">
        <f>DATA_CLEANING!E149</f>
        <v>West</v>
      </c>
    </row>
    <row r="150" spans="1:1" x14ac:dyDescent="0.25">
      <c r="A150" t="str">
        <f>DATA_CLEANING!E150</f>
        <v>South</v>
      </c>
    </row>
    <row r="151" spans="1:1" x14ac:dyDescent="0.25">
      <c r="A151" t="str">
        <f>DATA_CLEANING!E151</f>
        <v>West</v>
      </c>
    </row>
    <row r="152" spans="1:1" x14ac:dyDescent="0.25">
      <c r="A152" t="str">
        <f>DATA_CLEANING!E152</f>
        <v>North</v>
      </c>
    </row>
    <row r="153" spans="1:1" x14ac:dyDescent="0.25">
      <c r="A153" t="str">
        <f>DATA_CLEANING!E153</f>
        <v>Central</v>
      </c>
    </row>
    <row r="154" spans="1:1" x14ac:dyDescent="0.25">
      <c r="A154" t="str">
        <f>DATA_CLEANING!E154</f>
        <v>West</v>
      </c>
    </row>
    <row r="155" spans="1:1" x14ac:dyDescent="0.25">
      <c r="A155" t="str">
        <f>DATA_CLEANING!E155</f>
        <v>East</v>
      </c>
    </row>
    <row r="156" spans="1:1" x14ac:dyDescent="0.25">
      <c r="A156" t="str">
        <f>DATA_CLEANING!E156</f>
        <v>Central</v>
      </c>
    </row>
    <row r="157" spans="1:1" x14ac:dyDescent="0.25">
      <c r="A157" t="str">
        <f>DATA_CLEANING!E157</f>
        <v>South</v>
      </c>
    </row>
    <row r="158" spans="1:1" x14ac:dyDescent="0.25">
      <c r="A158" t="str">
        <f>DATA_CLEANING!E158</f>
        <v>South</v>
      </c>
    </row>
    <row r="159" spans="1:1" x14ac:dyDescent="0.25">
      <c r="A159" t="str">
        <f>DATA_CLEANING!E159</f>
        <v>South</v>
      </c>
    </row>
    <row r="160" spans="1:1" x14ac:dyDescent="0.25">
      <c r="A160" t="str">
        <f>DATA_CLEANING!E160</f>
        <v>Central</v>
      </c>
    </row>
    <row r="161" spans="1:1" x14ac:dyDescent="0.25">
      <c r="A161" t="str">
        <f>DATA_CLEANING!E161</f>
        <v>West</v>
      </c>
    </row>
    <row r="162" spans="1:1" x14ac:dyDescent="0.25">
      <c r="A162" t="str">
        <f>DATA_CLEANING!E162</f>
        <v>West</v>
      </c>
    </row>
    <row r="163" spans="1:1" x14ac:dyDescent="0.25">
      <c r="A163" t="str">
        <f>DATA_CLEANING!E163</f>
        <v>North</v>
      </c>
    </row>
    <row r="164" spans="1:1" x14ac:dyDescent="0.25">
      <c r="A164" t="str">
        <f>DATA_CLEANING!E164</f>
        <v>East</v>
      </c>
    </row>
    <row r="165" spans="1:1" x14ac:dyDescent="0.25">
      <c r="A165" t="str">
        <f>DATA_CLEANING!E165</f>
        <v>Central</v>
      </c>
    </row>
    <row r="166" spans="1:1" x14ac:dyDescent="0.25">
      <c r="A166" t="str">
        <f>DATA_CLEANING!E166</f>
        <v>West</v>
      </c>
    </row>
    <row r="167" spans="1:1" x14ac:dyDescent="0.25">
      <c r="A167" t="str">
        <f>DATA_CLEANING!E167</f>
        <v>North</v>
      </c>
    </row>
    <row r="168" spans="1:1" x14ac:dyDescent="0.25">
      <c r="A168" t="str">
        <f>DATA_CLEANING!E168</f>
        <v>Central</v>
      </c>
    </row>
    <row r="169" spans="1:1" x14ac:dyDescent="0.25">
      <c r="A169" t="str">
        <f>DATA_CLEANING!E169</f>
        <v>North</v>
      </c>
    </row>
    <row r="170" spans="1:1" x14ac:dyDescent="0.25">
      <c r="A170" t="str">
        <f>DATA_CLEANING!E170</f>
        <v>West</v>
      </c>
    </row>
    <row r="171" spans="1:1" x14ac:dyDescent="0.25">
      <c r="A171" t="str">
        <f>DATA_CLEANING!E171</f>
        <v>East</v>
      </c>
    </row>
    <row r="172" spans="1:1" x14ac:dyDescent="0.25">
      <c r="A172" t="str">
        <f>DATA_CLEANING!E172</f>
        <v>South</v>
      </c>
    </row>
    <row r="173" spans="1:1" x14ac:dyDescent="0.25">
      <c r="A173" t="str">
        <f>DATA_CLEANING!E173</f>
        <v>South</v>
      </c>
    </row>
    <row r="174" spans="1:1" x14ac:dyDescent="0.25">
      <c r="A174" t="str">
        <f>DATA_CLEANING!E174</f>
        <v>South</v>
      </c>
    </row>
    <row r="175" spans="1:1" x14ac:dyDescent="0.25">
      <c r="A175" t="str">
        <f>DATA_CLEANING!E175</f>
        <v>East</v>
      </c>
    </row>
    <row r="176" spans="1:1" x14ac:dyDescent="0.25">
      <c r="A176" t="str">
        <f>DATA_CLEANING!E176</f>
        <v>South</v>
      </c>
    </row>
    <row r="177" spans="1:1" x14ac:dyDescent="0.25">
      <c r="A177" t="str">
        <f>DATA_CLEANING!E177</f>
        <v>Central</v>
      </c>
    </row>
    <row r="178" spans="1:1" x14ac:dyDescent="0.25">
      <c r="A178" t="str">
        <f>DATA_CLEANING!E178</f>
        <v>North</v>
      </c>
    </row>
    <row r="179" spans="1:1" x14ac:dyDescent="0.25">
      <c r="A179" t="str">
        <f>DATA_CLEANING!E179</f>
        <v>Central</v>
      </c>
    </row>
    <row r="180" spans="1:1" x14ac:dyDescent="0.25">
      <c r="A180" t="str">
        <f>DATA_CLEANING!E180</f>
        <v>West</v>
      </c>
    </row>
    <row r="181" spans="1:1" x14ac:dyDescent="0.25">
      <c r="A181" t="str">
        <f>DATA_CLEANING!E181</f>
        <v>Central</v>
      </c>
    </row>
    <row r="182" spans="1:1" x14ac:dyDescent="0.25">
      <c r="A182" t="str">
        <f>DATA_CLEANING!E182</f>
        <v>East</v>
      </c>
    </row>
    <row r="183" spans="1:1" x14ac:dyDescent="0.25">
      <c r="A183" t="str">
        <f>DATA_CLEANING!E183</f>
        <v>North</v>
      </c>
    </row>
    <row r="184" spans="1:1" x14ac:dyDescent="0.25">
      <c r="A184" t="str">
        <f>DATA_CLEANING!E184</f>
        <v>West</v>
      </c>
    </row>
    <row r="185" spans="1:1" x14ac:dyDescent="0.25">
      <c r="A185" t="str">
        <f>DATA_CLEANING!E185</f>
        <v>East</v>
      </c>
    </row>
    <row r="186" spans="1:1" x14ac:dyDescent="0.25">
      <c r="A186" t="str">
        <f>DATA_CLEANING!E186</f>
        <v>North</v>
      </c>
    </row>
    <row r="187" spans="1:1" x14ac:dyDescent="0.25">
      <c r="A187" t="str">
        <f>DATA_CLEANING!E187</f>
        <v>North</v>
      </c>
    </row>
    <row r="188" spans="1:1" x14ac:dyDescent="0.25">
      <c r="A188" t="str">
        <f>DATA_CLEANING!E188</f>
        <v>West</v>
      </c>
    </row>
    <row r="189" spans="1:1" x14ac:dyDescent="0.25">
      <c r="A189" t="str">
        <f>DATA_CLEANING!E189</f>
        <v>South</v>
      </c>
    </row>
    <row r="190" spans="1:1" x14ac:dyDescent="0.25">
      <c r="A190" t="str">
        <f>DATA_CLEANING!E190</f>
        <v>North</v>
      </c>
    </row>
    <row r="191" spans="1:1" x14ac:dyDescent="0.25">
      <c r="A191" t="str">
        <f>DATA_CLEANING!E191</f>
        <v>Central</v>
      </c>
    </row>
    <row r="192" spans="1:1" x14ac:dyDescent="0.25">
      <c r="A192" t="str">
        <f>DATA_CLEANING!E192</f>
        <v>North</v>
      </c>
    </row>
    <row r="193" spans="1:1" x14ac:dyDescent="0.25">
      <c r="A193" t="str">
        <f>DATA_CLEANING!E193</f>
        <v>North</v>
      </c>
    </row>
    <row r="194" spans="1:1" x14ac:dyDescent="0.25">
      <c r="A194" t="str">
        <f>DATA_CLEANING!E194</f>
        <v>North</v>
      </c>
    </row>
    <row r="195" spans="1:1" x14ac:dyDescent="0.25">
      <c r="A195" t="str">
        <f>DATA_CLEANING!E195</f>
        <v>East</v>
      </c>
    </row>
    <row r="196" spans="1:1" x14ac:dyDescent="0.25">
      <c r="A196" t="str">
        <f>DATA_CLEANING!E196</f>
        <v>South</v>
      </c>
    </row>
    <row r="197" spans="1:1" x14ac:dyDescent="0.25">
      <c r="A197" t="str">
        <f>DATA_CLEANING!E197</f>
        <v>West</v>
      </c>
    </row>
    <row r="198" spans="1:1" x14ac:dyDescent="0.25">
      <c r="A198" t="str">
        <f>DATA_CLEANING!E198</f>
        <v>East</v>
      </c>
    </row>
    <row r="199" spans="1:1" x14ac:dyDescent="0.25">
      <c r="A199" t="str">
        <f>DATA_CLEANING!E199</f>
        <v>East</v>
      </c>
    </row>
    <row r="200" spans="1:1" x14ac:dyDescent="0.25">
      <c r="A200" t="str">
        <f>DATA_CLEANING!E200</f>
        <v>South</v>
      </c>
    </row>
    <row r="201" spans="1:1" x14ac:dyDescent="0.25">
      <c r="A201" t="str">
        <f>DATA_CLEANING!E201</f>
        <v>South</v>
      </c>
    </row>
    <row r="202" spans="1:1" x14ac:dyDescent="0.25">
      <c r="A202" t="str">
        <f>DATA_CLEANING!E202</f>
        <v>East</v>
      </c>
    </row>
    <row r="203" spans="1:1" x14ac:dyDescent="0.25">
      <c r="A203" t="str">
        <f>DATA_CLEANING!E203</f>
        <v>North</v>
      </c>
    </row>
    <row r="204" spans="1:1" x14ac:dyDescent="0.25">
      <c r="A204" t="str">
        <f>DATA_CLEANING!E204</f>
        <v>Central</v>
      </c>
    </row>
    <row r="205" spans="1:1" x14ac:dyDescent="0.25">
      <c r="A205" t="str">
        <f>DATA_CLEANING!E205</f>
        <v>Central</v>
      </c>
    </row>
    <row r="206" spans="1:1" x14ac:dyDescent="0.25">
      <c r="A206" t="str">
        <f>DATA_CLEANING!E206</f>
        <v>West</v>
      </c>
    </row>
    <row r="207" spans="1:1" x14ac:dyDescent="0.25">
      <c r="A207" t="str">
        <f>DATA_CLEANING!E207</f>
        <v>West</v>
      </c>
    </row>
  </sheetData>
  <phoneticPr fontId="3" type="noConversion"/>
  <dataValidations count="2">
    <dataValidation type="list" allowBlank="1" showInputMessage="1" showErrorMessage="1" sqref="A1:A1048575" xr:uid="{DEF20AEF-5319-4647-8E7E-7ED62E38C5D9}">
      <formula1>$A$3:$A$207</formula1>
    </dataValidation>
    <dataValidation type="whole" allowBlank="1" showInputMessage="1" showErrorMessage="1" sqref="B1:B1048576" xr:uid="{A4F22385-4118-4294-9556-6BD0F45C724C}">
      <formula1>100</formula1>
      <formula2>100000</formula2>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Raw_Sales_Data</vt:lpstr>
      <vt:lpstr>PIVOT_TOTAL_SALES</vt:lpstr>
      <vt:lpstr>AVG_QUANTITY_SOLD</vt:lpstr>
      <vt:lpstr>LINE_CHART</vt:lpstr>
      <vt:lpstr> Bar_Chart</vt:lpstr>
      <vt:lpstr>DATA_CLEANING</vt:lpstr>
      <vt:lpstr> Cell Referencing </vt:lpstr>
      <vt:lpstr>Product_Lookup</vt:lpstr>
      <vt:lpstr>DATA_VALIDATION</vt:lpstr>
      <vt:lpstr>DATA_CLEANING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Diana Kemunto</cp:lastModifiedBy>
  <dcterms:created xsi:type="dcterms:W3CDTF">2026-02-22T20:42:42Z</dcterms:created>
  <dcterms:modified xsi:type="dcterms:W3CDTF">2026-03-05T23:43:34Z</dcterms:modified>
</cp:coreProperties>
</file>